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fs\work_mpa\m1aal01\stablecoin_transparency\"/>
    </mc:Choice>
  </mc:AlternateContent>
  <xr:revisionPtr revIDLastSave="0" documentId="8_{C607AE2E-12E2-4DAD-B161-7C454E5A9229}" xr6:coauthVersionLast="47" xr6:coauthVersionMax="47" xr10:uidLastSave="{00000000-0000-0000-0000-000000000000}"/>
  <bookViews>
    <workbookView xWindow="-21045" yWindow="1575" windowWidth="21600" windowHeight="11295" xr2:uid="{49F2D1DE-36B6-374E-AA33-AC6B61D17210}"/>
  </bookViews>
  <sheets>
    <sheet name="USDC" sheetId="8" r:id="rId1"/>
    <sheet name="GUSD" sheetId="9" r:id="rId2"/>
    <sheet name="USDT" sheetId="1" r:id="rId3"/>
    <sheet name="BUSD" sheetId="2" r:id="rId4"/>
    <sheet name="USD1" sheetId="11" r:id="rId5"/>
    <sheet name="USDP" sheetId="10" r:id="rId6"/>
    <sheet name="PYUSD" sheetId="4" r:id="rId7"/>
    <sheet name="RLUSD" sheetId="5" r:id="rId8"/>
    <sheet name="Other" sheetId="6" r:id="rId9"/>
    <sheet name="AUDD" sheetId="7" r:id="rId10"/>
  </sheets>
  <definedNames>
    <definedName name="_xlnm._FilterDatabase" localSheetId="6" hidden="1">PYUSD!$A$2:$D$48</definedName>
    <definedName name="_xlnm._FilterDatabase" localSheetId="0" hidden="1">USDC!$A$3:$N$76</definedName>
    <definedName name="CIQWBGuid" hidden="1">"2761f0ea-2bf7-4e85-88b4-bc29400a566d"</definedName>
    <definedName name="CIQWBInfo" hidden="1">"{ ""CIQVersion"":""9.45.614.5792""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2" i="8" l="1"/>
  <c r="C82" i="8"/>
  <c r="N82" i="8"/>
  <c r="M81" i="8"/>
  <c r="C81" i="8"/>
  <c r="N81" i="8"/>
  <c r="M80" i="8"/>
  <c r="C80" i="8"/>
  <c r="N80" i="8"/>
  <c r="M79" i="8"/>
  <c r="N79" i="8"/>
  <c r="C79" i="8"/>
  <c r="E63" i="4"/>
  <c r="E62" i="4"/>
  <c r="N78" i="8"/>
  <c r="M78" i="8"/>
  <c r="C78" i="8"/>
  <c r="N77" i="8"/>
  <c r="M77" i="8" s="1"/>
  <c r="C77" i="8"/>
  <c r="H4" i="11"/>
  <c r="G4" i="11"/>
  <c r="H3" i="11"/>
  <c r="G3" i="11"/>
  <c r="G3" i="9"/>
  <c r="G109" i="2"/>
  <c r="G108" i="2"/>
  <c r="G4" i="10"/>
  <c r="G3" i="10"/>
  <c r="E4" i="10"/>
  <c r="E3" i="10"/>
  <c r="C75" i="8"/>
  <c r="N75" i="8"/>
  <c r="M75" i="8" s="1"/>
  <c r="B75" i="8"/>
  <c r="C72" i="8"/>
  <c r="N72" i="8"/>
  <c r="M72" i="8" s="1"/>
  <c r="B72" i="8"/>
  <c r="C70" i="8"/>
  <c r="N70" i="8"/>
  <c r="M70" i="8" s="1"/>
  <c r="B70" i="8"/>
  <c r="M68" i="8"/>
  <c r="C68" i="8"/>
  <c r="N68" i="8"/>
  <c r="B68" i="8"/>
  <c r="C66" i="8"/>
  <c r="N66" i="8"/>
  <c r="M66" i="8" s="1"/>
  <c r="B66" i="8"/>
  <c r="M64" i="8"/>
  <c r="C64" i="8"/>
  <c r="N64" i="8"/>
  <c r="B64" i="8"/>
  <c r="C62" i="8"/>
  <c r="N62" i="8"/>
  <c r="M62" i="8" s="1"/>
  <c r="B62" i="8"/>
  <c r="C60" i="8"/>
  <c r="N60" i="8"/>
  <c r="M60" i="8" s="1"/>
  <c r="B60" i="8"/>
  <c r="M58" i="8"/>
  <c r="C58" i="8"/>
  <c r="N58" i="8"/>
  <c r="B58" i="8"/>
  <c r="C56" i="8"/>
  <c r="N56" i="8"/>
  <c r="M56" i="8" s="1"/>
  <c r="B56" i="8"/>
  <c r="M54" i="8"/>
  <c r="C54" i="8"/>
  <c r="N54" i="8"/>
  <c r="B54" i="8"/>
  <c r="M52" i="8"/>
  <c r="C52" i="8"/>
  <c r="N52" i="8"/>
  <c r="B52" i="8"/>
  <c r="M50" i="8"/>
  <c r="C50" i="8"/>
  <c r="N50" i="8"/>
  <c r="B50" i="8"/>
  <c r="M48" i="8"/>
  <c r="C48" i="8"/>
  <c r="N48" i="8"/>
  <c r="B48" i="8"/>
  <c r="M46" i="8"/>
  <c r="C46" i="8"/>
  <c r="N46" i="8"/>
  <c r="B46" i="8"/>
  <c r="M44" i="8"/>
  <c r="C44" i="8"/>
  <c r="N44" i="8"/>
  <c r="B44" i="8"/>
  <c r="M42" i="8"/>
  <c r="C42" i="8"/>
  <c r="N42" i="8"/>
  <c r="B42" i="8"/>
  <c r="M40" i="8"/>
  <c r="C40" i="8"/>
  <c r="N40" i="8"/>
  <c r="B40" i="8"/>
  <c r="N38" i="8"/>
  <c r="M38" i="8" s="1"/>
  <c r="C38" i="8"/>
  <c r="B38" i="8"/>
  <c r="M36" i="8"/>
  <c r="C36" i="8"/>
  <c r="N36" i="8"/>
  <c r="B36" i="8"/>
  <c r="M34" i="8"/>
  <c r="C34" i="8"/>
  <c r="N34" i="8"/>
  <c r="B34" i="8"/>
  <c r="C32" i="8"/>
  <c r="N32" i="8"/>
  <c r="M32" i="8" s="1"/>
  <c r="B32" i="8"/>
  <c r="C30" i="8"/>
  <c r="N30" i="8"/>
  <c r="M30" i="8" s="1"/>
  <c r="B30" i="8"/>
  <c r="N28" i="8"/>
  <c r="M28" i="8" s="1"/>
  <c r="C28" i="8"/>
  <c r="B28" i="8"/>
  <c r="N26" i="8"/>
  <c r="M26" i="8" s="1"/>
  <c r="C26" i="8"/>
  <c r="B26" i="8"/>
  <c r="M24" i="8"/>
  <c r="C24" i="8"/>
  <c r="N24" i="8"/>
  <c r="B24" i="8"/>
  <c r="C22" i="8"/>
  <c r="N22" i="8"/>
  <c r="M22" i="8" s="1"/>
  <c r="B22" i="8"/>
  <c r="M20" i="8"/>
  <c r="C20" i="8"/>
  <c r="N20" i="8"/>
  <c r="B20" i="8"/>
  <c r="C18" i="8"/>
  <c r="N18" i="8"/>
  <c r="M18" i="8" s="1"/>
  <c r="B18" i="8"/>
  <c r="M16" i="8"/>
  <c r="C16" i="8"/>
  <c r="N16" i="8"/>
  <c r="B16" i="8"/>
  <c r="C76" i="8"/>
  <c r="N76" i="8"/>
  <c r="M76" i="8" s="1"/>
  <c r="B76" i="8"/>
  <c r="M4" i="5" a="1"/>
  <c r="M4" i="5" s="1"/>
  <c r="M5" i="5" a="1"/>
  <c r="M5" i="5" s="1"/>
  <c r="M6" i="5" a="1"/>
  <c r="M6" i="5"/>
  <c r="M7" i="5" a="1"/>
  <c r="M7" i="5" s="1"/>
  <c r="M8" i="5" a="1"/>
  <c r="M8" i="5" s="1"/>
  <c r="M9" i="5" a="1"/>
  <c r="M9" i="5"/>
  <c r="M10" i="5" a="1"/>
  <c r="M10" i="5"/>
  <c r="M11" i="5" a="1"/>
  <c r="M11" i="5"/>
  <c r="M12" i="5" a="1"/>
  <c r="M12" i="5" s="1"/>
  <c r="M13" i="5" a="1"/>
  <c r="M13" i="5"/>
  <c r="M14" i="5" a="1"/>
  <c r="M14" i="5"/>
  <c r="M15" i="5" a="1"/>
  <c r="M15" i="5"/>
  <c r="M16" i="5" a="1"/>
  <c r="M16" i="5" s="1"/>
  <c r="M17" i="5" a="1"/>
  <c r="M17" i="5"/>
  <c r="M18" i="5" a="1"/>
  <c r="M18" i="5"/>
  <c r="M19" i="5" a="1"/>
  <c r="M19" i="5"/>
  <c r="M20" i="5" a="1"/>
  <c r="M20" i="5" s="1"/>
  <c r="M21" i="5" a="1"/>
  <c r="M21" i="5"/>
  <c r="M22" i="5" a="1"/>
  <c r="M22" i="5"/>
  <c r="M23" i="5" a="1"/>
  <c r="M23" i="5"/>
  <c r="M24" i="5" a="1"/>
  <c r="M24" i="5" s="1"/>
  <c r="M25" i="5" a="1"/>
  <c r="M25" i="5"/>
  <c r="M26" i="5" a="1"/>
  <c r="M26" i="5"/>
  <c r="M27" i="5" a="1"/>
  <c r="M27" i="5"/>
  <c r="M28" i="5" a="1"/>
  <c r="M28" i="5" s="1"/>
  <c r="M3" i="5" a="1"/>
  <c r="M3" i="5" s="1"/>
  <c r="M19" i="8"/>
  <c r="B11" i="8"/>
  <c r="B12" i="8"/>
  <c r="B13" i="8"/>
  <c r="B14" i="8"/>
  <c r="B15" i="8"/>
  <c r="B17" i="8"/>
  <c r="B19" i="8"/>
  <c r="B21" i="8"/>
  <c r="B23" i="8"/>
  <c r="B25" i="8"/>
  <c r="B27" i="8"/>
  <c r="B29" i="8"/>
  <c r="B31" i="8"/>
  <c r="B33" i="8"/>
  <c r="B35" i="8"/>
  <c r="B37" i="8"/>
  <c r="B39" i="8"/>
  <c r="B41" i="8"/>
  <c r="B43" i="8"/>
  <c r="B45" i="8"/>
  <c r="B47" i="8"/>
  <c r="B49" i="8"/>
  <c r="B51" i="8"/>
  <c r="B53" i="8"/>
  <c r="B55" i="8"/>
  <c r="B57" i="8"/>
  <c r="B59" i="8"/>
  <c r="B65" i="8"/>
  <c r="B67" i="8"/>
  <c r="B69" i="8"/>
  <c r="B71" i="8"/>
  <c r="B73" i="8"/>
  <c r="B74" i="8"/>
  <c r="R23" i="1"/>
  <c r="J23" i="1"/>
  <c r="C23" i="1"/>
  <c r="N15" i="8"/>
  <c r="M15" i="8" s="1"/>
  <c r="N4" i="8"/>
  <c r="M4" i="8" s="1"/>
  <c r="N5" i="8"/>
  <c r="M5" i="8" s="1"/>
  <c r="N6" i="8"/>
  <c r="M6" i="8" s="1"/>
  <c r="N7" i="8"/>
  <c r="M7" i="8" s="1"/>
  <c r="N8" i="8"/>
  <c r="M8" i="8" s="1"/>
  <c r="N9" i="8"/>
  <c r="M9" i="8" s="1"/>
  <c r="N10" i="8"/>
  <c r="M10" i="8" s="1"/>
  <c r="N11" i="8"/>
  <c r="M11" i="8" s="1"/>
  <c r="N12" i="8"/>
  <c r="M12" i="8" s="1"/>
  <c r="N13" i="8"/>
  <c r="M13" i="8" s="1"/>
  <c r="N17" i="8"/>
  <c r="M17" i="8" s="1"/>
  <c r="N19" i="8"/>
  <c r="N21" i="8"/>
  <c r="M21" i="8" s="1"/>
  <c r="N23" i="8"/>
  <c r="M23" i="8" s="1"/>
  <c r="N25" i="8"/>
  <c r="M25" i="8" s="1"/>
  <c r="N27" i="8"/>
  <c r="M27" i="8" s="1"/>
  <c r="N29" i="8"/>
  <c r="M29" i="8" s="1"/>
  <c r="N31" i="8"/>
  <c r="M31" i="8" s="1"/>
  <c r="N33" i="8"/>
  <c r="M33" i="8" s="1"/>
  <c r="N35" i="8"/>
  <c r="M35" i="8" s="1"/>
  <c r="B9" i="8"/>
  <c r="B10" i="8"/>
  <c r="B8" i="8"/>
  <c r="C74" i="8"/>
  <c r="N74" i="8"/>
  <c r="M74" i="8" s="1"/>
  <c r="C73" i="8"/>
  <c r="N73" i="8"/>
  <c r="M73" i="8" s="1"/>
  <c r="N71" i="8"/>
  <c r="M71" i="8" s="1"/>
  <c r="N39" i="8"/>
  <c r="M39" i="8" s="1"/>
  <c r="N41" i="8"/>
  <c r="M41" i="8" s="1"/>
  <c r="N43" i="8"/>
  <c r="M43" i="8" s="1"/>
  <c r="N45" i="8"/>
  <c r="M45" i="8" s="1"/>
  <c r="N47" i="8"/>
  <c r="M47" i="8" s="1"/>
  <c r="N49" i="8"/>
  <c r="M49" i="8" s="1"/>
  <c r="N51" i="8"/>
  <c r="M51" i="8" s="1"/>
  <c r="N53" i="8"/>
  <c r="M53" i="8" s="1"/>
  <c r="N55" i="8"/>
  <c r="M55" i="8" s="1"/>
  <c r="N57" i="8"/>
  <c r="M57" i="8" s="1"/>
  <c r="N59" i="8"/>
  <c r="M59" i="8" s="1"/>
  <c r="N61" i="8"/>
  <c r="M61" i="8" s="1"/>
  <c r="N65" i="8"/>
  <c r="M65" i="8" s="1"/>
  <c r="N67" i="8"/>
  <c r="M67" i="8" s="1"/>
  <c r="N69" i="8"/>
  <c r="M69" i="8" s="1"/>
  <c r="N37" i="8"/>
  <c r="M37" i="8" s="1"/>
  <c r="C71" i="8"/>
  <c r="E61" i="8"/>
  <c r="B61" i="8" s="1"/>
  <c r="E63" i="8"/>
  <c r="N63" i="8" s="1"/>
  <c r="M63" i="8" s="1"/>
  <c r="E65" i="8"/>
  <c r="E67" i="8"/>
  <c r="E69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H14" i="8"/>
  <c r="C14" i="8" s="1"/>
  <c r="C13" i="8"/>
  <c r="C12" i="8"/>
  <c r="C11" i="8"/>
  <c r="C10" i="8"/>
  <c r="C9" i="8"/>
  <c r="C8" i="8"/>
  <c r="C7" i="8"/>
  <c r="C6" i="8"/>
  <c r="C5" i="8"/>
  <c r="C4" i="8"/>
  <c r="E61" i="4"/>
  <c r="E60" i="4"/>
  <c r="E59" i="4"/>
  <c r="E58" i="4"/>
  <c r="E57" i="4"/>
  <c r="E55" i="4"/>
  <c r="F3" i="6"/>
  <c r="F4" i="6"/>
  <c r="F5" i="6"/>
  <c r="F7" i="6"/>
  <c r="F8" i="6"/>
  <c r="F2" i="6"/>
  <c r="C6" i="6"/>
  <c r="F6" i="6" s="1"/>
  <c r="G2" i="7"/>
  <c r="N14" i="8" l="1"/>
  <c r="M14" i="8" s="1"/>
  <c r="B63" i="8"/>
  <c r="G100" i="2"/>
  <c r="G101" i="2"/>
  <c r="G102" i="2"/>
  <c r="G103" i="2"/>
  <c r="G104" i="2"/>
  <c r="G105" i="2"/>
  <c r="G106" i="2"/>
  <c r="G107" i="2"/>
  <c r="G94" i="2"/>
  <c r="G95" i="2"/>
  <c r="G96" i="2"/>
  <c r="G97" i="2"/>
  <c r="G98" i="2"/>
  <c r="G99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6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" i="4"/>
  <c r="E38" i="4"/>
  <c r="J14" i="1"/>
  <c r="C13" i="1"/>
  <c r="R13" i="1" s="1"/>
  <c r="C14" i="1"/>
  <c r="C15" i="1"/>
  <c r="R15" i="1" s="1"/>
  <c r="C16" i="1"/>
  <c r="R16" i="1" s="1"/>
  <c r="C17" i="1"/>
  <c r="C18" i="1"/>
  <c r="C19" i="1"/>
  <c r="C20" i="1"/>
  <c r="C21" i="1"/>
  <c r="R21" i="1" s="1"/>
  <c r="C22" i="1"/>
  <c r="R22" i="1" s="1"/>
  <c r="C12" i="1"/>
  <c r="R17" i="1"/>
  <c r="R18" i="1"/>
  <c r="R19" i="1"/>
  <c r="R20" i="1"/>
  <c r="R12" i="1"/>
  <c r="D4" i="1"/>
  <c r="D12" i="1"/>
  <c r="D18" i="1"/>
  <c r="D21" i="1"/>
  <c r="D22" i="1"/>
  <c r="J22" i="1"/>
  <c r="J21" i="1"/>
  <c r="G55" i="2"/>
  <c r="G56" i="2"/>
  <c r="G57" i="2"/>
  <c r="G58" i="2"/>
  <c r="G59" i="2"/>
  <c r="G60" i="2"/>
  <c r="G61" i="2"/>
  <c r="G62" i="2"/>
  <c r="G47" i="2"/>
  <c r="G48" i="2"/>
  <c r="G49" i="2"/>
  <c r="G50" i="2"/>
  <c r="G51" i="2"/>
  <c r="G52" i="2"/>
  <c r="G53" i="2"/>
  <c r="G54" i="2"/>
  <c r="G43" i="2"/>
  <c r="G44" i="2"/>
  <c r="G45" i="2"/>
  <c r="G46" i="2"/>
  <c r="G42" i="2"/>
  <c r="G41" i="2"/>
  <c r="G40" i="2"/>
  <c r="G39" i="2"/>
  <c r="G38" i="2"/>
  <c r="G37" i="2"/>
  <c r="G36" i="2"/>
  <c r="G35" i="2"/>
  <c r="J13" i="1"/>
  <c r="G23" i="2"/>
  <c r="G24" i="2"/>
  <c r="G25" i="2"/>
  <c r="G26" i="2"/>
  <c r="G27" i="2"/>
  <c r="G28" i="2"/>
  <c r="G29" i="2"/>
  <c r="G30" i="2"/>
  <c r="G31" i="2"/>
  <c r="G32" i="2"/>
  <c r="G33" i="2"/>
  <c r="G34" i="2"/>
  <c r="G22" i="2"/>
  <c r="G21" i="2"/>
  <c r="G20" i="2"/>
  <c r="G19" i="2"/>
  <c r="G18" i="2"/>
  <c r="G17" i="2"/>
  <c r="J12" i="1"/>
  <c r="G5" i="2"/>
  <c r="G6" i="2"/>
  <c r="G7" i="2"/>
  <c r="G8" i="2"/>
  <c r="G9" i="2"/>
  <c r="G10" i="2"/>
  <c r="G11" i="2"/>
  <c r="G12" i="2"/>
  <c r="G13" i="2"/>
  <c r="G14" i="2"/>
  <c r="G15" i="2"/>
  <c r="G16" i="2"/>
  <c r="G4" i="2"/>
  <c r="B4" i="1"/>
  <c r="C4" i="1"/>
  <c r="G4" i="1"/>
  <c r="I4" i="1"/>
  <c r="J4" i="1"/>
  <c r="K4" i="1"/>
  <c r="L4" i="1"/>
  <c r="R14" i="1" l="1"/>
  <c r="R5" i="1"/>
  <c r="R11" i="1"/>
  <c r="R8" i="1"/>
  <c r="R6" i="1"/>
  <c r="R10" i="1"/>
  <c r="R9" i="1"/>
  <c r="R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tc={030EF974-093B-43DC-AE7C-1B532E8B9309}</author>
    <author>tc={FC843E4F-67D2-4090-83A4-617F5CD97964}</author>
  </authors>
  <commentList>
    <comment ref="H3" authorId="0" shapeId="0" xr:uid="{030EF974-093B-43DC-AE7C-1B532E8B9309}">
      <text>
        <t>[Threaded comment]
Your version of Excel allows you to read this threaded comment; however, any edits to it will get removed if the file is opened in a newer version of Excel. Learn more: https://go.microsoft.com/fwlink/?linkid=870924
Comment:
    Cash due to/(owed by) Circle Reserve Fund due to timing and settlement differences, net</t>
      </text>
    </comment>
    <comment ref="K3" authorId="1" shapeId="0" xr:uid="{FC843E4F-67D2-4090-83A4-617F5CD97964}">
      <text>
        <t>[Threaded comment]
Your version of Excel allows you to read this threaded comment; however, any edits to it will get removed if the file is opened in a newer version of Excel. Learn more: https://go.microsoft.com/fwlink/?linkid=870924
Comment:
    Cash due to/(owed by) Circle Reserve Fund due to timing and settlement differences, net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<sst xmlns="http://schemas.openxmlformats.org/spreadsheetml/2006/main" count="117" uniqueCount="82">
  <si>
    <t>Cash And Bank Deposits</t>
  </si>
  <si>
    <t>MMF</t>
  </si>
  <si>
    <t>Treasury Bills</t>
  </si>
  <si>
    <t>Non-US Treasury Bills</t>
  </si>
  <si>
    <t>Secured Loans</t>
  </si>
  <si>
    <t>Other</t>
  </si>
  <si>
    <t>Total CP and CDs</t>
  </si>
  <si>
    <t>CP and CD, A-1+</t>
  </si>
  <si>
    <t>CP and CD, A-1</t>
  </si>
  <si>
    <t>CP and CD, A-2</t>
  </si>
  <si>
    <t>CP and CD, A-3</t>
  </si>
  <si>
    <t>CP and CD, Other</t>
  </si>
  <si>
    <t>Total</t>
  </si>
  <si>
    <t>Note</t>
  </si>
  <si>
    <t>total assets from the report, approximate values are from the pie chart</t>
  </si>
  <si>
    <t>Date</t>
  </si>
  <si>
    <t>Treasuries</t>
  </si>
  <si>
    <t>Cash</t>
  </si>
  <si>
    <t>Repo</t>
  </si>
  <si>
    <t xml:space="preserve">Total </t>
  </si>
  <si>
    <t>Check</t>
  </si>
  <si>
    <t>Circle Reserve Fund Assets</t>
  </si>
  <si>
    <t>Other USDC Reserve Assets</t>
  </si>
  <si>
    <t>Totals</t>
  </si>
  <si>
    <t>Fair value of assets in USDC reserve</t>
  </si>
  <si>
    <t>Link: https://www.centre.io/usdc-transparency</t>
  </si>
  <si>
    <t>Net Cash Adjustment</t>
  </si>
  <si>
    <t>Link: https://paxos.com/busd-transparency/</t>
  </si>
  <si>
    <t>Link: https://tether.to/en/transparency/#reports</t>
  </si>
  <si>
    <t>Cash Deposits with Private Insurance</t>
  </si>
  <si>
    <t>Cash Deposits at Insured Deposit Institutions</t>
  </si>
  <si>
    <t>-</t>
  </si>
  <si>
    <t>Overnight Repos</t>
  </si>
  <si>
    <t>date</t>
  </si>
  <si>
    <t>Link: https://www.paxos.com/pyusd-transparency</t>
  </si>
  <si>
    <t>Overnight Reverse Repo</t>
  </si>
  <si>
    <t>Term Reverse Repo</t>
  </si>
  <si>
    <t>Total Reverse Repo</t>
  </si>
  <si>
    <t>Report_Month</t>
  </si>
  <si>
    <t>US_Treasury_Bills</t>
  </si>
  <si>
    <t>Gov_Money_Market</t>
  </si>
  <si>
    <t>Cash_Deposits</t>
  </si>
  <si>
    <t>Accrued_Interest</t>
  </si>
  <si>
    <t>Timing_Differences</t>
  </si>
  <si>
    <t>Report_Date</t>
  </si>
  <si>
    <t>Attestation_Date</t>
  </si>
  <si>
    <t>RLUSD_Outstanding</t>
  </si>
  <si>
    <t>Total_Reserves</t>
  </si>
  <si>
    <t>Over_Collateralization</t>
  </si>
  <si>
    <t>Over_Collat_Pct</t>
  </si>
  <si>
    <t>https://ripple.com/solutions/stablecoin/transparency/</t>
  </si>
  <si>
    <t xml:space="preserve">Token </t>
  </si>
  <si>
    <t>Cash held at regulated financial institutions</t>
  </si>
  <si>
    <t xml:space="preserve">Cash due to/(owed by) Circle due to timing and settlement differences, net </t>
  </si>
  <si>
    <t>EURC</t>
  </si>
  <si>
    <t>EURS</t>
  </si>
  <si>
    <t>AUDD</t>
  </si>
  <si>
    <t>AUDM</t>
  </si>
  <si>
    <t>tGBP</t>
  </si>
  <si>
    <t>VGBP</t>
  </si>
  <si>
    <t>XSGD</t>
  </si>
  <si>
    <t>Token</t>
  </si>
  <si>
    <t xml:space="preserve">Value at Banking Circle </t>
  </si>
  <si>
    <t>Value in Cash at Zerocap Acc</t>
  </si>
  <si>
    <t>Value at In1Bank</t>
  </si>
  <si>
    <t>Value at Westpac Acc</t>
  </si>
  <si>
    <t>Transparency</t>
  </si>
  <si>
    <t>https://www.macropod.com/transparency/reserves</t>
  </si>
  <si>
    <t>https://www.tokenisedgbp.com/transparency</t>
  </si>
  <si>
    <t>Government Securities</t>
  </si>
  <si>
    <t xml:space="preserve">Totals </t>
  </si>
  <si>
    <t>Treasuries_and_repo</t>
  </si>
  <si>
    <t xml:space="preserve">Overnight Repo </t>
  </si>
  <si>
    <t>(total securities + repo agreements)</t>
  </si>
  <si>
    <t>Link: https://www.paxos.com/usdp-transparency</t>
  </si>
  <si>
    <t>Cash Net Adjustment</t>
  </si>
  <si>
    <t>https://www.gemini.com/dollar</t>
  </si>
  <si>
    <t>Link: https://worldlibertyfinancial.com/usd1</t>
  </si>
  <si>
    <t>Cash_BitGo_Account</t>
  </si>
  <si>
    <t>Cash_Demand_Deposits</t>
  </si>
  <si>
    <t>Gov_MMFs</t>
  </si>
  <si>
    <t>Corporate Bonds, Funds, Bitcoin and Precious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</si>
</sst>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2"/>
      <color theme="1"/>
      <name val="Helvetica"/>
      <family val="2"/>
    </font>
    <font>
      <sz val="11"/>
      <color theme="1"/>
      <name val="Calibri"/>
      <family val="2"/>
      <scheme val="minor"/>
    </font>
    <font>
      <u/>
      <sz val="12"/>
      <color theme="10"/>
      <name val="Helvetica"/>
      <family val="2"/>
    </font>
    <font>
      <sz val="12"/>
      <color rgb="FF0000FF"/>
      <name val="Helvetica"/>
      <family val="2"/>
    </font>
    <font>
      <b/>
      <sz val="12"/>
      <color theme="1"/>
      <name val="Helvetica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41" fontId="0" fillId="0" borderId="0" xfId="0" applyNumberFormat="1"/>
    <xf numFmtId="41" fontId="3" fillId="0" borderId="0" xfId="0" applyNumberFormat="1" applyFont="1"/>
    <xf numFmtId="44" fontId="0" fillId="0" borderId="0" xfId="0" applyNumberFormat="1"/>
    <xf numFmtId="43" fontId="0" fillId="0" borderId="0" xfId="0" applyNumberFormat="1"/>
    <xf numFmtId="0" fontId="1" fillId="0" borderId="0" xfId="2"/>
    <xf numFmtId="43" fontId="1" fillId="0" borderId="0" xfId="3" applyFont="1"/>
    <xf numFmtId="4" fontId="0" fillId="0" borderId="0" xfId="0" applyNumberFormat="1"/>
    <xf numFmtId="2" fontId="0" fillId="0" borderId="0" xfId="0" applyNumberFormat="1"/>
    <xf numFmtId="9" fontId="0" fillId="0" borderId="0" xfId="4" applyFont="1"/>
    <xf numFmtId="0" fontId="2" fillId="0" borderId="0" xfId="1"/>
    <xf numFmtId="0" fontId="4" fillId="0" borderId="0" xfId="0" applyFont="1" applyAlignment="1">
      <alignment horizontal="center" vertical="center" wrapText="1"/>
    </xf>
    <xf numFmtId="14" fontId="1" fillId="0" borderId="0" xfId="2" applyNumberFormat="1"/>
    <xf numFmtId="2" fontId="3" fillId="0" borderId="0" xfId="0" applyNumberFormat="1" applyFont="1"/>
    <xf numFmtId="2" fontId="4" fillId="0" borderId="1" xfId="0" applyNumberFormat="1" applyFont="1" applyBorder="1" applyAlignment="1">
      <alignment horizontal="center" vertical="center" wrapText="1"/>
    </xf>
  </cellXfs>
  <cellStyles count="5">
    <cellStyle name="Comma" xfId="3" builtinId="3"/>
    <cellStyle name="Hyperlink" xfId="1" builtinId="8"/>
    <cellStyle name="Normal" xfId="0" builtinId="0"/>
    <cellStyle name="Normal 2" xfId="2" xr:uid="{9D5488D5-00DE-4A48-87C1-4FB221A1D050}"/>
    <cellStyle name="Percent" xfId="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se Ross" id="{35CD439A-A544-4FE1-B6DC-98F694172F2C}" userId="Chase Ross" providerId="Non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2-17T14:31:06.77" personId="{35CD439A-A544-4FE1-B6DC-98F694172F2C}" id="{030EF974-093B-43DC-AE7C-1B532E8B9309}">
    <text>Cash due to/(owed by) Circle Reserve Fund due to timing and settlement differences, net</text>
  </threadedComment>
  <threadedComment ref="K3" dT="2023-02-17T14:31:06.77" personId="{35CD439A-A544-4FE1-B6DC-98F694172F2C}" id="{FC843E4F-67D2-4090-83A4-617F5CD97964}">
    <text>Cash due to/(owed by) Circle Reserve Fund due to timing and settlement differences, net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ripple.com/solutions/stablecoin/transparen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B8C5-CA0F-44C6-8C96-E4E9104F9407}">
  <dimension ref="A1:N207"/>
  <sheetViews>
    <sheetView tabSelected="1" zoomScale="70" zoomScaleNormal="70" workbookViewId="0">
      <pane ySplit="3" topLeftCell="A72" activePane="bottomLeft" state="frozen"/>
      <selection pane="bottomLeft" activeCell="A83" sqref="A83"/>
    </sheetView>
  </sheetViews>
  <sheetFormatPr defaultRowHeight="15" x14ac:dyDescent="0.2"/>
  <cols>
    <col min="1" max="1" width="40.21875" bestFit="1" customWidth="1"/>
    <col min="2" max="2" width="18.6640625" bestFit="1" customWidth="1"/>
    <col min="3" max="3" width="17.5546875" bestFit="1" customWidth="1"/>
    <col min="4" max="4" width="18.77734375" bestFit="1" customWidth="1"/>
    <col min="5" max="6" width="18.77734375" customWidth="1"/>
    <col min="7" max="7" width="17.5546875" bestFit="1" customWidth="1"/>
    <col min="8" max="8" width="17.44140625" bestFit="1" customWidth="1"/>
    <col min="9" max="9" width="17.5546875" bestFit="1" customWidth="1"/>
    <col min="10" max="10" width="18.21875" style="9" customWidth="1"/>
    <col min="11" max="11" width="15.109375" bestFit="1" customWidth="1"/>
    <col min="12" max="12" width="19.21875" bestFit="1" customWidth="1"/>
    <col min="13" max="14" width="14.88671875" bestFit="1" customWidth="1"/>
  </cols>
  <sheetData>
    <row r="1" spans="1:14" x14ac:dyDescent="0.2">
      <c r="A1" s="1" t="s">
        <v>25</v>
      </c>
      <c r="B1" s="9"/>
      <c r="C1" s="9"/>
      <c r="D1" s="9" t="s">
        <v>73</v>
      </c>
      <c r="E1" s="9"/>
      <c r="F1" s="9"/>
      <c r="G1" s="9"/>
      <c r="H1" s="9"/>
      <c r="I1" s="8"/>
      <c r="K1" s="9"/>
    </row>
    <row r="2" spans="1:14" x14ac:dyDescent="0.2">
      <c r="A2" s="1"/>
      <c r="B2" s="9" t="s">
        <v>23</v>
      </c>
      <c r="C2" s="9"/>
      <c r="D2" s="9" t="s">
        <v>21</v>
      </c>
      <c r="E2" s="9"/>
      <c r="F2" s="9"/>
      <c r="G2" s="9"/>
      <c r="H2" s="9"/>
      <c r="I2" s="8" t="s">
        <v>22</v>
      </c>
      <c r="K2" s="9"/>
    </row>
    <row r="3" spans="1:14" s="4" customFormat="1" ht="31.5" x14ac:dyDescent="0.2">
      <c r="A3" s="1"/>
      <c r="B3" s="9" t="s">
        <v>16</v>
      </c>
      <c r="C3" s="9" t="s">
        <v>17</v>
      </c>
      <c r="D3" s="9" t="s">
        <v>71</v>
      </c>
      <c r="E3" s="9" t="s">
        <v>16</v>
      </c>
      <c r="F3" s="9" t="s">
        <v>72</v>
      </c>
      <c r="G3" s="9" t="s">
        <v>17</v>
      </c>
      <c r="H3" s="9" t="s">
        <v>26</v>
      </c>
      <c r="I3" s="8" t="s">
        <v>16</v>
      </c>
      <c r="J3" s="9" t="s">
        <v>17</v>
      </c>
      <c r="K3" s="9" t="s">
        <v>26</v>
      </c>
      <c r="L3" s="7" t="s">
        <v>24</v>
      </c>
      <c r="M3" s="5" t="s">
        <v>20</v>
      </c>
    </row>
    <row r="4" spans="1:14" x14ac:dyDescent="0.2">
      <c r="A4" s="1">
        <v>44773</v>
      </c>
      <c r="B4" s="8">
        <v>42373557970</v>
      </c>
      <c r="C4" s="9">
        <f t="shared" ref="C4:C35" si="0">+G4+H4+J4+K4</f>
        <v>12245135509</v>
      </c>
      <c r="D4" s="9"/>
      <c r="E4" s="8">
        <v>42373557970</v>
      </c>
      <c r="F4" s="9">
        <v>0</v>
      </c>
      <c r="G4" s="9">
        <v>12169359634</v>
      </c>
      <c r="H4" s="9">
        <v>75775875</v>
      </c>
      <c r="I4" s="8">
        <v>0</v>
      </c>
      <c r="J4" s="9">
        <v>0</v>
      </c>
      <c r="K4" s="9">
        <v>0</v>
      </c>
      <c r="L4" s="9">
        <v>54618693479</v>
      </c>
      <c r="M4" t="b">
        <f t="shared" ref="M4:M35" si="1">IF(L4=N4,TRUE,FALSE)</f>
        <v>1</v>
      </c>
      <c r="N4" s="9">
        <f t="shared" ref="N4:N35" si="2">SUM(E4:K4)</f>
        <v>54618693479</v>
      </c>
    </row>
    <row r="5" spans="1:14" x14ac:dyDescent="0.2">
      <c r="A5" s="1">
        <v>44804</v>
      </c>
      <c r="B5" s="8">
        <v>43502009230</v>
      </c>
      <c r="C5" s="9">
        <f t="shared" si="0"/>
        <v>8928807322</v>
      </c>
      <c r="D5" s="9"/>
      <c r="E5" s="8">
        <v>43502009230</v>
      </c>
      <c r="F5" s="9"/>
      <c r="G5" s="9">
        <v>0</v>
      </c>
      <c r="H5" s="9">
        <v>0</v>
      </c>
      <c r="I5" s="8">
        <v>0</v>
      </c>
      <c r="J5" s="9">
        <v>10485847973</v>
      </c>
      <c r="K5" s="9">
        <v>-1557040651</v>
      </c>
      <c r="L5" s="9">
        <v>52430816552</v>
      </c>
      <c r="M5" t="b">
        <f t="shared" si="1"/>
        <v>1</v>
      </c>
      <c r="N5" s="9">
        <f t="shared" si="2"/>
        <v>52430816552</v>
      </c>
    </row>
    <row r="6" spans="1:14" x14ac:dyDescent="0.2">
      <c r="A6" s="1">
        <v>44834</v>
      </c>
      <c r="B6" s="8">
        <v>38266665983</v>
      </c>
      <c r="C6" s="9">
        <f t="shared" si="0"/>
        <v>9212857953</v>
      </c>
      <c r="D6" s="9"/>
      <c r="E6" s="8">
        <v>38266665983</v>
      </c>
      <c r="F6" s="9"/>
      <c r="G6" s="9">
        <v>0</v>
      </c>
      <c r="H6" s="9">
        <v>0</v>
      </c>
      <c r="I6" s="8">
        <v>0</v>
      </c>
      <c r="J6" s="9">
        <v>9233357063</v>
      </c>
      <c r="K6" s="9">
        <v>-20499110</v>
      </c>
      <c r="L6" s="9">
        <v>47479523936</v>
      </c>
      <c r="M6" t="b">
        <f t="shared" si="1"/>
        <v>1</v>
      </c>
      <c r="N6" s="9">
        <f t="shared" si="2"/>
        <v>47479523936</v>
      </c>
    </row>
    <row r="7" spans="1:14" x14ac:dyDescent="0.2">
      <c r="A7" s="1">
        <v>44865</v>
      </c>
      <c r="B7" s="8">
        <v>35720049340</v>
      </c>
      <c r="C7" s="9">
        <f t="shared" si="0"/>
        <v>8034909113</v>
      </c>
      <c r="D7" s="9"/>
      <c r="E7" s="8">
        <v>35720049340</v>
      </c>
      <c r="F7" s="9"/>
      <c r="G7" s="9">
        <v>0</v>
      </c>
      <c r="H7" s="9">
        <v>0</v>
      </c>
      <c r="I7" s="8">
        <v>0</v>
      </c>
      <c r="J7" s="9">
        <v>8060519623</v>
      </c>
      <c r="K7" s="9">
        <v>-25610510</v>
      </c>
      <c r="L7" s="9">
        <v>43754958453</v>
      </c>
      <c r="M7" t="b">
        <f t="shared" si="1"/>
        <v>1</v>
      </c>
      <c r="N7" s="9">
        <f t="shared" si="2"/>
        <v>43754958453</v>
      </c>
    </row>
    <row r="8" spans="1:14" x14ac:dyDescent="0.2">
      <c r="A8" s="1">
        <v>44895</v>
      </c>
      <c r="B8" s="9">
        <f t="shared" ref="B8:B39" si="3">+E8+I8</f>
        <v>32181421290</v>
      </c>
      <c r="C8" s="9">
        <f t="shared" si="0"/>
        <v>11222908477</v>
      </c>
      <c r="D8" s="9"/>
      <c r="E8" s="9">
        <v>12761828760</v>
      </c>
      <c r="F8" s="9">
        <v>0</v>
      </c>
      <c r="G8" s="9">
        <v>47563511</v>
      </c>
      <c r="H8" s="9">
        <v>-17676082</v>
      </c>
      <c r="I8" s="8">
        <v>19419592530</v>
      </c>
      <c r="J8" s="9">
        <v>11159111371</v>
      </c>
      <c r="K8" s="9">
        <v>33909677</v>
      </c>
      <c r="L8" s="9">
        <v>43404329767</v>
      </c>
      <c r="M8" t="b">
        <f t="shared" si="1"/>
        <v>1</v>
      </c>
      <c r="N8" s="9">
        <f t="shared" si="2"/>
        <v>43404329767</v>
      </c>
    </row>
    <row r="9" spans="1:14" x14ac:dyDescent="0.2">
      <c r="A9" s="1">
        <v>44926</v>
      </c>
      <c r="B9" s="9">
        <f t="shared" si="3"/>
        <v>34105524696</v>
      </c>
      <c r="C9" s="9">
        <f t="shared" si="0"/>
        <v>10588439005</v>
      </c>
      <c r="D9" s="9"/>
      <c r="E9" s="9">
        <v>23581809113</v>
      </c>
      <c r="F9" s="9">
        <v>0</v>
      </c>
      <c r="G9" s="9">
        <v>48991340</v>
      </c>
      <c r="H9" s="9">
        <v>33056600</v>
      </c>
      <c r="I9" s="8">
        <v>10523715583</v>
      </c>
      <c r="J9" s="9">
        <v>10526235601</v>
      </c>
      <c r="K9" s="9">
        <v>-19844536</v>
      </c>
      <c r="L9" s="9">
        <v>44693963701</v>
      </c>
      <c r="M9" t="b">
        <f t="shared" si="1"/>
        <v>1</v>
      </c>
      <c r="N9" s="9">
        <f t="shared" si="2"/>
        <v>44693963701</v>
      </c>
    </row>
    <row r="10" spans="1:14" x14ac:dyDescent="0.2">
      <c r="A10" s="1">
        <v>44957</v>
      </c>
      <c r="B10" s="9">
        <f t="shared" si="3"/>
        <v>33723644221</v>
      </c>
      <c r="C10" s="9">
        <f t="shared" si="0"/>
        <v>8612089853</v>
      </c>
      <c r="D10" s="9"/>
      <c r="E10" s="9">
        <v>33723644221</v>
      </c>
      <c r="F10" s="9">
        <v>0</v>
      </c>
      <c r="G10" s="9">
        <v>54742853</v>
      </c>
      <c r="H10" s="9">
        <v>-116203278</v>
      </c>
      <c r="I10" s="8">
        <v>0</v>
      </c>
      <c r="J10" s="9">
        <v>8700672117</v>
      </c>
      <c r="K10" s="9">
        <v>-27121839</v>
      </c>
      <c r="L10" s="9">
        <v>42335734074</v>
      </c>
      <c r="M10" t="b">
        <f t="shared" si="1"/>
        <v>1</v>
      </c>
      <c r="N10" s="9">
        <f t="shared" si="2"/>
        <v>42335734074</v>
      </c>
    </row>
    <row r="11" spans="1:14" x14ac:dyDescent="0.2">
      <c r="A11" s="1">
        <v>44985</v>
      </c>
      <c r="B11" s="9">
        <f t="shared" si="3"/>
        <v>31677326857</v>
      </c>
      <c r="C11" s="9">
        <f t="shared" si="0"/>
        <v>10779090568</v>
      </c>
      <c r="D11" s="9"/>
      <c r="E11" s="9">
        <v>31677326857</v>
      </c>
      <c r="F11" s="9">
        <v>0</v>
      </c>
      <c r="G11" s="9">
        <v>302341595</v>
      </c>
      <c r="H11" s="9">
        <v>-113655068</v>
      </c>
      <c r="I11" s="8">
        <v>0</v>
      </c>
      <c r="J11" s="9">
        <v>10626132587</v>
      </c>
      <c r="K11" s="9">
        <v>-35728546</v>
      </c>
      <c r="L11" s="9">
        <v>42456417425</v>
      </c>
      <c r="M11" t="b">
        <f t="shared" si="1"/>
        <v>1</v>
      </c>
      <c r="N11" s="9">
        <f t="shared" si="2"/>
        <v>42456417425</v>
      </c>
    </row>
    <row r="12" spans="1:14" x14ac:dyDescent="0.2">
      <c r="A12" s="1">
        <v>45016</v>
      </c>
      <c r="B12" s="9">
        <f t="shared" si="3"/>
        <v>28510534939</v>
      </c>
      <c r="C12" s="9">
        <f t="shared" si="0"/>
        <v>4061166369</v>
      </c>
      <c r="D12" s="9"/>
      <c r="E12" s="9">
        <v>28510534939</v>
      </c>
      <c r="F12" s="9">
        <v>0</v>
      </c>
      <c r="G12" s="9">
        <v>501603669</v>
      </c>
      <c r="H12" s="9">
        <v>-125978508</v>
      </c>
      <c r="I12" s="8">
        <v>0</v>
      </c>
      <c r="J12" s="9">
        <v>3707781370</v>
      </c>
      <c r="K12" s="9">
        <v>-22240162</v>
      </c>
      <c r="L12" s="9">
        <v>32571701308</v>
      </c>
      <c r="M12" t="b">
        <f t="shared" si="1"/>
        <v>1</v>
      </c>
      <c r="N12" s="9">
        <f t="shared" si="2"/>
        <v>32571701308</v>
      </c>
    </row>
    <row r="13" spans="1:14" x14ac:dyDescent="0.2">
      <c r="A13" s="1">
        <v>45044</v>
      </c>
      <c r="B13" s="9">
        <f t="shared" si="3"/>
        <v>30142388334</v>
      </c>
      <c r="C13" s="9">
        <f t="shared" si="0"/>
        <v>403680699</v>
      </c>
      <c r="D13" s="9"/>
      <c r="E13" s="9">
        <v>30142388334</v>
      </c>
      <c r="F13" s="9">
        <v>0</v>
      </c>
      <c r="G13" s="9">
        <v>2075760629</v>
      </c>
      <c r="H13" s="9">
        <v>-6833233613</v>
      </c>
      <c r="I13" s="8">
        <v>0</v>
      </c>
      <c r="J13" s="9">
        <v>5178160327</v>
      </c>
      <c r="K13" s="9">
        <v>-17006644</v>
      </c>
      <c r="L13" s="9">
        <v>30546069033</v>
      </c>
      <c r="M13" t="b">
        <f t="shared" si="1"/>
        <v>1</v>
      </c>
      <c r="N13" s="9">
        <f t="shared" si="2"/>
        <v>30546069033</v>
      </c>
    </row>
    <row r="14" spans="1:14" x14ac:dyDescent="0.2">
      <c r="A14" s="1">
        <v>45077</v>
      </c>
      <c r="B14" s="9">
        <f t="shared" si="3"/>
        <v>0</v>
      </c>
      <c r="C14" s="9">
        <f t="shared" si="0"/>
        <v>6043130135</v>
      </c>
      <c r="D14" s="9"/>
      <c r="E14" s="9">
        <v>0</v>
      </c>
      <c r="F14" s="9">
        <v>22882000000</v>
      </c>
      <c r="G14" s="9">
        <v>2006937041</v>
      </c>
      <c r="H14" s="9">
        <f>-(101028023)</f>
        <v>-101028023</v>
      </c>
      <c r="I14" s="8"/>
      <c r="J14" s="9">
        <v>4159033351</v>
      </c>
      <c r="K14" s="9">
        <v>-21812234</v>
      </c>
      <c r="L14" s="9">
        <v>28925130135</v>
      </c>
      <c r="M14" t="b">
        <f t="shared" si="1"/>
        <v>1</v>
      </c>
      <c r="N14" s="9">
        <f t="shared" si="2"/>
        <v>28925130135</v>
      </c>
    </row>
    <row r="15" spans="1:14" ht="15.95" customHeight="1" x14ac:dyDescent="0.2">
      <c r="A15" s="1">
        <v>45107</v>
      </c>
      <c r="B15" s="9">
        <f t="shared" si="3"/>
        <v>5432701400</v>
      </c>
      <c r="C15" s="9">
        <f t="shared" si="0"/>
        <v>3550839903</v>
      </c>
      <c r="D15" s="9"/>
      <c r="E15" s="9">
        <v>5432701400</v>
      </c>
      <c r="F15" s="9">
        <v>18456000000</v>
      </c>
      <c r="G15" s="9">
        <v>1004283516</v>
      </c>
      <c r="H15" s="9">
        <v>-104988642</v>
      </c>
      <c r="I15" s="8"/>
      <c r="J15" s="9">
        <v>2673143113</v>
      </c>
      <c r="K15" s="9">
        <v>-21598084</v>
      </c>
      <c r="L15" s="9">
        <v>27439541303</v>
      </c>
      <c r="M15" t="b">
        <f t="shared" si="1"/>
        <v>1</v>
      </c>
      <c r="N15" s="9">
        <f t="shared" si="2"/>
        <v>27439541303</v>
      </c>
    </row>
    <row r="16" spans="1:14" x14ac:dyDescent="0.2">
      <c r="A16" s="1">
        <v>45131</v>
      </c>
      <c r="B16" s="9">
        <f t="shared" si="3"/>
        <v>8389935085</v>
      </c>
      <c r="C16" s="9">
        <f t="shared" si="0"/>
        <v>2315405327</v>
      </c>
      <c r="D16" s="9"/>
      <c r="E16" s="9">
        <v>8389935085</v>
      </c>
      <c r="F16" s="9">
        <v>15974000000</v>
      </c>
      <c r="G16" s="9">
        <v>999045196</v>
      </c>
      <c r="H16" s="9">
        <v>-575202983</v>
      </c>
      <c r="I16" s="8"/>
      <c r="J16" s="9">
        <v>1897890897</v>
      </c>
      <c r="K16" s="9">
        <v>-6327783</v>
      </c>
      <c r="L16" s="9">
        <v>26679340412</v>
      </c>
      <c r="M16" s="1" t="b">
        <f t="shared" si="1"/>
        <v>1</v>
      </c>
      <c r="N16" s="9">
        <f t="shared" si="2"/>
        <v>26679340412</v>
      </c>
    </row>
    <row r="17" spans="1:14" x14ac:dyDescent="0.2">
      <c r="A17" s="1">
        <v>45138</v>
      </c>
      <c r="B17" s="9">
        <f t="shared" si="3"/>
        <v>5950941505</v>
      </c>
      <c r="C17" s="9">
        <f t="shared" si="0"/>
        <v>3075126618</v>
      </c>
      <c r="D17" s="9"/>
      <c r="E17" s="9">
        <v>5950941505</v>
      </c>
      <c r="F17" s="9">
        <v>17436000000</v>
      </c>
      <c r="G17" s="9">
        <v>1004112141</v>
      </c>
      <c r="H17" s="9">
        <v>-103286163</v>
      </c>
      <c r="I17" s="8"/>
      <c r="J17" s="9">
        <v>2196028208</v>
      </c>
      <c r="K17" s="9">
        <v>-21727568</v>
      </c>
      <c r="L17" s="9">
        <v>26462068123</v>
      </c>
      <c r="M17" t="b">
        <f t="shared" si="1"/>
        <v>1</v>
      </c>
      <c r="N17" s="9">
        <f t="shared" si="2"/>
        <v>26462068123</v>
      </c>
    </row>
    <row r="18" spans="1:14" x14ac:dyDescent="0.2">
      <c r="A18" s="1">
        <v>45145</v>
      </c>
      <c r="B18" s="9">
        <f t="shared" si="3"/>
        <v>8495048102</v>
      </c>
      <c r="C18" s="9">
        <f t="shared" si="0"/>
        <v>1466224261</v>
      </c>
      <c r="D18" s="9"/>
      <c r="E18" s="9">
        <v>8495048102</v>
      </c>
      <c r="F18" s="9">
        <v>16159000000</v>
      </c>
      <c r="G18" s="9">
        <v>999126976</v>
      </c>
      <c r="H18" s="9">
        <v>-1365303161</v>
      </c>
      <c r="I18" s="8"/>
      <c r="J18" s="9">
        <v>1841019902</v>
      </c>
      <c r="K18" s="9">
        <v>-8619456</v>
      </c>
      <c r="L18" s="9">
        <v>26120272363</v>
      </c>
      <c r="M18" s="1" t="b">
        <f t="shared" si="1"/>
        <v>1</v>
      </c>
      <c r="N18" s="9">
        <f t="shared" si="2"/>
        <v>26120272363</v>
      </c>
    </row>
    <row r="19" spans="1:14" x14ac:dyDescent="0.2">
      <c r="A19" s="1">
        <v>45169</v>
      </c>
      <c r="B19" s="9">
        <f t="shared" si="3"/>
        <v>8857879752</v>
      </c>
      <c r="C19" s="9">
        <f t="shared" si="0"/>
        <v>2813234879</v>
      </c>
      <c r="D19" s="9"/>
      <c r="E19" s="9">
        <v>8857879752</v>
      </c>
      <c r="F19" s="9">
        <v>14534000000</v>
      </c>
      <c r="G19" s="9">
        <v>1003498285</v>
      </c>
      <c r="H19" s="9">
        <v>-107406835</v>
      </c>
      <c r="I19" s="8"/>
      <c r="J19" s="9">
        <v>1932308264</v>
      </c>
      <c r="K19" s="9">
        <v>-15164835</v>
      </c>
      <c r="L19" s="9">
        <v>26205114631</v>
      </c>
      <c r="M19" t="b">
        <f t="shared" si="1"/>
        <v>1</v>
      </c>
      <c r="N19" s="9">
        <f t="shared" si="2"/>
        <v>26205114631</v>
      </c>
    </row>
    <row r="20" spans="1:14" x14ac:dyDescent="0.2">
      <c r="A20" s="1">
        <v>45183</v>
      </c>
      <c r="B20" s="9">
        <f t="shared" si="3"/>
        <v>11096323514</v>
      </c>
      <c r="C20" s="9">
        <f t="shared" si="0"/>
        <v>640652918</v>
      </c>
      <c r="D20" s="9"/>
      <c r="E20" s="9">
        <v>11096323514</v>
      </c>
      <c r="F20" s="9">
        <v>14374000000</v>
      </c>
      <c r="G20" s="9">
        <v>999132030</v>
      </c>
      <c r="H20" s="9">
        <v>-2182637076</v>
      </c>
      <c r="I20" s="8"/>
      <c r="J20" s="9">
        <v>1765592015</v>
      </c>
      <c r="K20" s="9">
        <v>58565949</v>
      </c>
      <c r="L20" s="9">
        <v>26110976432</v>
      </c>
      <c r="M20" s="1" t="b">
        <f t="shared" si="1"/>
        <v>1</v>
      </c>
      <c r="N20" s="9">
        <f t="shared" si="2"/>
        <v>26110976432</v>
      </c>
    </row>
    <row r="21" spans="1:14" x14ac:dyDescent="0.2">
      <c r="A21" s="1">
        <v>45198</v>
      </c>
      <c r="B21" s="9">
        <f t="shared" si="3"/>
        <v>8995831228</v>
      </c>
      <c r="C21" s="9">
        <f t="shared" si="0"/>
        <v>2137196445</v>
      </c>
      <c r="D21" s="9"/>
      <c r="E21" s="9">
        <v>8995831228</v>
      </c>
      <c r="F21" s="9">
        <v>13892000000</v>
      </c>
      <c r="G21" s="9">
        <v>1003332419</v>
      </c>
      <c r="H21" s="9">
        <v>-103228238</v>
      </c>
      <c r="I21" s="8"/>
      <c r="J21" s="9">
        <v>1247386546</v>
      </c>
      <c r="K21" s="9">
        <v>-10294282</v>
      </c>
      <c r="L21" s="9">
        <v>25025027673</v>
      </c>
      <c r="M21" t="b">
        <f t="shared" si="1"/>
        <v>1</v>
      </c>
      <c r="N21" s="9">
        <f t="shared" si="2"/>
        <v>25025027673</v>
      </c>
    </row>
    <row r="22" spans="1:14" x14ac:dyDescent="0.2">
      <c r="A22" s="1">
        <v>45204</v>
      </c>
      <c r="B22" s="9">
        <f t="shared" si="3"/>
        <v>8348827158</v>
      </c>
      <c r="C22" s="9">
        <f t="shared" si="0"/>
        <v>2059159753</v>
      </c>
      <c r="D22" s="9"/>
      <c r="E22" s="9">
        <v>8348827158</v>
      </c>
      <c r="F22" s="9">
        <v>14802000000</v>
      </c>
      <c r="G22" s="9">
        <v>999086646</v>
      </c>
      <c r="H22" s="9">
        <v>-362193454</v>
      </c>
      <c r="I22" s="8"/>
      <c r="J22" s="9">
        <v>1339586306</v>
      </c>
      <c r="K22" s="9">
        <v>82680255</v>
      </c>
      <c r="L22" s="9">
        <v>25209986911</v>
      </c>
      <c r="M22" s="1" t="b">
        <f t="shared" si="1"/>
        <v>1</v>
      </c>
      <c r="N22" s="9">
        <f t="shared" si="2"/>
        <v>25209986911</v>
      </c>
    </row>
    <row r="23" spans="1:14" x14ac:dyDescent="0.2">
      <c r="A23" s="1">
        <v>45230</v>
      </c>
      <c r="B23" s="9">
        <f t="shared" si="3"/>
        <v>8089725281</v>
      </c>
      <c r="C23" s="9">
        <f t="shared" si="0"/>
        <v>2132540386</v>
      </c>
      <c r="D23" s="9"/>
      <c r="E23" s="9">
        <v>8089725281</v>
      </c>
      <c r="F23" s="9">
        <v>14498000000</v>
      </c>
      <c r="G23" s="9">
        <v>1004045757</v>
      </c>
      <c r="H23" s="9">
        <v>-103748811</v>
      </c>
      <c r="I23" s="8"/>
      <c r="J23" s="9">
        <v>1252660496</v>
      </c>
      <c r="K23" s="9">
        <v>-20417056</v>
      </c>
      <c r="L23" s="9">
        <v>24720265667</v>
      </c>
      <c r="M23" t="b">
        <f t="shared" si="1"/>
        <v>1</v>
      </c>
      <c r="N23" s="9">
        <f t="shared" si="2"/>
        <v>24720265667</v>
      </c>
    </row>
    <row r="24" spans="1:14" x14ac:dyDescent="0.2">
      <c r="A24" s="1">
        <v>45246</v>
      </c>
      <c r="B24" s="9">
        <f t="shared" si="3"/>
        <v>7011931098</v>
      </c>
      <c r="C24" s="9">
        <f t="shared" si="0"/>
        <v>2688827245</v>
      </c>
      <c r="D24" s="9"/>
      <c r="E24" s="9">
        <v>7011931098</v>
      </c>
      <c r="F24" s="9">
        <v>14375000000</v>
      </c>
      <c r="G24" s="9">
        <v>999159493</v>
      </c>
      <c r="H24" s="9">
        <v>-48014674</v>
      </c>
      <c r="I24" s="8"/>
      <c r="J24" s="9">
        <v>1749906241</v>
      </c>
      <c r="K24" s="9">
        <v>-12223815</v>
      </c>
      <c r="L24" s="9">
        <v>24075758343</v>
      </c>
      <c r="M24" s="1" t="b">
        <f t="shared" si="1"/>
        <v>1</v>
      </c>
      <c r="N24" s="9">
        <f t="shared" si="2"/>
        <v>24075758343</v>
      </c>
    </row>
    <row r="25" spans="1:14" x14ac:dyDescent="0.2">
      <c r="A25" s="1">
        <v>45260</v>
      </c>
      <c r="B25" s="9">
        <f t="shared" si="3"/>
        <v>7167169630</v>
      </c>
      <c r="C25" s="9">
        <f t="shared" si="0"/>
        <v>2798117483</v>
      </c>
      <c r="D25" s="9"/>
      <c r="E25" s="9">
        <v>7167169630</v>
      </c>
      <c r="F25" s="9">
        <v>14562000000</v>
      </c>
      <c r="G25" s="9">
        <v>1003641646</v>
      </c>
      <c r="H25" s="9">
        <v>-96827382</v>
      </c>
      <c r="I25" s="8"/>
      <c r="J25" s="9">
        <v>1902038972</v>
      </c>
      <c r="K25" s="9">
        <v>-10735753</v>
      </c>
      <c r="L25" s="9">
        <v>24527287113</v>
      </c>
      <c r="M25" t="b">
        <f t="shared" si="1"/>
        <v>1</v>
      </c>
      <c r="N25" s="9">
        <f t="shared" si="2"/>
        <v>24527287113</v>
      </c>
    </row>
    <row r="26" spans="1:14" x14ac:dyDescent="0.2">
      <c r="A26" s="1">
        <v>45266</v>
      </c>
      <c r="B26" s="9">
        <f t="shared" si="3"/>
        <v>7176098912</v>
      </c>
      <c r="C26" s="9">
        <f t="shared" si="0"/>
        <v>1931574442</v>
      </c>
      <c r="D26" s="9"/>
      <c r="E26" s="9">
        <v>7176098912</v>
      </c>
      <c r="F26" s="9">
        <v>15182000000</v>
      </c>
      <c r="G26" s="9">
        <v>999302178</v>
      </c>
      <c r="H26" s="9">
        <v>-719412126</v>
      </c>
      <c r="I26" s="8"/>
      <c r="J26" s="9">
        <v>1538405052</v>
      </c>
      <c r="K26" s="9">
        <v>113279338</v>
      </c>
      <c r="L26" s="9">
        <v>24289673354</v>
      </c>
      <c r="M26" s="1" t="b">
        <f t="shared" si="1"/>
        <v>1</v>
      </c>
      <c r="N26" s="9">
        <f t="shared" si="2"/>
        <v>24289673354</v>
      </c>
    </row>
    <row r="27" spans="1:14" x14ac:dyDescent="0.2">
      <c r="A27" s="1">
        <v>45289</v>
      </c>
      <c r="B27" s="9">
        <f t="shared" si="3"/>
        <v>6622021104</v>
      </c>
      <c r="C27" s="9">
        <f t="shared" si="0"/>
        <v>3364267118</v>
      </c>
      <c r="D27" s="9"/>
      <c r="E27" s="9">
        <v>6622021104</v>
      </c>
      <c r="F27" s="9">
        <v>14707000000</v>
      </c>
      <c r="G27" s="9">
        <v>1003858010</v>
      </c>
      <c r="H27" s="9">
        <v>-94915699</v>
      </c>
      <c r="I27" s="8"/>
      <c r="J27" s="9">
        <v>2499849775</v>
      </c>
      <c r="K27" s="9">
        <v>-44524968</v>
      </c>
      <c r="L27" s="9">
        <v>24693288222</v>
      </c>
      <c r="M27" t="b">
        <f t="shared" si="1"/>
        <v>1</v>
      </c>
      <c r="N27" s="9">
        <f t="shared" si="2"/>
        <v>24693288222</v>
      </c>
    </row>
    <row r="28" spans="1:14" ht="15.95" customHeight="1" x14ac:dyDescent="0.2">
      <c r="A28" s="1">
        <v>45302</v>
      </c>
      <c r="B28" s="9">
        <f t="shared" si="3"/>
        <v>6912713860</v>
      </c>
      <c r="C28" s="9">
        <f t="shared" si="0"/>
        <v>3748238645</v>
      </c>
      <c r="D28" s="9"/>
      <c r="E28" s="9">
        <v>6912713860</v>
      </c>
      <c r="F28" s="9">
        <v>14558000000</v>
      </c>
      <c r="G28" s="9">
        <v>999513080</v>
      </c>
      <c r="H28" s="9">
        <v>-32196201</v>
      </c>
      <c r="I28" s="8"/>
      <c r="J28" s="9">
        <v>2806677757</v>
      </c>
      <c r="K28" s="9">
        <v>-25755991</v>
      </c>
      <c r="L28" s="9">
        <v>25218952505</v>
      </c>
      <c r="M28" s="1" t="b">
        <f t="shared" si="1"/>
        <v>1</v>
      </c>
      <c r="N28" s="9">
        <f t="shared" si="2"/>
        <v>25218952505</v>
      </c>
    </row>
    <row r="29" spans="1:14" x14ac:dyDescent="0.2">
      <c r="A29" s="1">
        <v>45322</v>
      </c>
      <c r="B29" s="9">
        <f t="shared" si="3"/>
        <v>7391263608</v>
      </c>
      <c r="C29" s="9">
        <f t="shared" si="0"/>
        <v>4057221041</v>
      </c>
      <c r="D29" s="9"/>
      <c r="E29" s="9">
        <v>7391263608</v>
      </c>
      <c r="F29" s="9">
        <v>15342000000</v>
      </c>
      <c r="G29" s="9">
        <v>1004581261</v>
      </c>
      <c r="H29" s="9">
        <v>-99834107</v>
      </c>
      <c r="I29" s="8"/>
      <c r="J29" s="9">
        <v>3261418999</v>
      </c>
      <c r="K29" s="9">
        <v>-108945112</v>
      </c>
      <c r="L29" s="9">
        <v>26790484649</v>
      </c>
      <c r="M29" t="b">
        <f t="shared" si="1"/>
        <v>1</v>
      </c>
      <c r="N29" s="9">
        <f t="shared" si="2"/>
        <v>26790484649</v>
      </c>
    </row>
    <row r="30" spans="1:14" x14ac:dyDescent="0.2">
      <c r="A30" s="1">
        <v>45345</v>
      </c>
      <c r="B30" s="9">
        <f t="shared" si="3"/>
        <v>9260546767</v>
      </c>
      <c r="C30" s="9">
        <f t="shared" si="0"/>
        <v>3399827417</v>
      </c>
      <c r="D30" s="9"/>
      <c r="E30" s="9">
        <v>9260546767</v>
      </c>
      <c r="F30" s="9">
        <v>15453000000</v>
      </c>
      <c r="G30" s="9">
        <v>999305030</v>
      </c>
      <c r="H30" s="9">
        <v>-575067461</v>
      </c>
      <c r="I30" s="8"/>
      <c r="J30" s="9">
        <v>2980618553</v>
      </c>
      <c r="K30" s="9">
        <v>-5028705</v>
      </c>
      <c r="L30" s="9">
        <v>28113374184</v>
      </c>
      <c r="M30" s="1" t="b">
        <f t="shared" si="1"/>
        <v>1</v>
      </c>
      <c r="N30" s="9">
        <f t="shared" si="2"/>
        <v>28113374184</v>
      </c>
    </row>
    <row r="31" spans="1:14" x14ac:dyDescent="0.2">
      <c r="A31" s="1">
        <v>45351</v>
      </c>
      <c r="B31" s="9">
        <f t="shared" si="3"/>
        <v>10006134453</v>
      </c>
      <c r="C31" s="9">
        <f t="shared" si="0"/>
        <v>4196859878</v>
      </c>
      <c r="D31" s="9"/>
      <c r="E31" s="9">
        <v>10006134453</v>
      </c>
      <c r="F31" s="9">
        <v>14531000000</v>
      </c>
      <c r="G31" s="9">
        <v>1003830638</v>
      </c>
      <c r="H31" s="9">
        <v>-103115864</v>
      </c>
      <c r="I31" s="8"/>
      <c r="J31" s="9">
        <v>3301872815</v>
      </c>
      <c r="K31" s="9">
        <v>-5727711</v>
      </c>
      <c r="L31" s="9">
        <v>28733994331</v>
      </c>
      <c r="M31" t="b">
        <f t="shared" si="1"/>
        <v>1</v>
      </c>
      <c r="N31" s="9">
        <f t="shared" si="2"/>
        <v>28733994331</v>
      </c>
    </row>
    <row r="32" spans="1:14" x14ac:dyDescent="0.2">
      <c r="A32" s="1">
        <v>45376</v>
      </c>
      <c r="B32" s="9">
        <f t="shared" si="3"/>
        <v>10818616531</v>
      </c>
      <c r="C32" s="9">
        <f t="shared" si="0"/>
        <v>5266756633</v>
      </c>
      <c r="D32" s="9"/>
      <c r="E32" s="9">
        <v>10818616531</v>
      </c>
      <c r="F32" s="9">
        <v>16206000000</v>
      </c>
      <c r="G32" s="9">
        <v>1000993980</v>
      </c>
      <c r="H32" s="9">
        <v>-487399359</v>
      </c>
      <c r="I32" s="8"/>
      <c r="J32" s="9">
        <v>4710568562</v>
      </c>
      <c r="K32" s="9">
        <v>42593450</v>
      </c>
      <c r="L32" s="9">
        <v>32291373164</v>
      </c>
      <c r="M32" s="1" t="b">
        <f t="shared" si="1"/>
        <v>1</v>
      </c>
      <c r="N32" s="9">
        <f t="shared" si="2"/>
        <v>32291373164</v>
      </c>
    </row>
    <row r="33" spans="1:14" x14ac:dyDescent="0.2">
      <c r="A33" s="1">
        <v>45380</v>
      </c>
      <c r="B33" s="9">
        <f t="shared" si="3"/>
        <v>11418153075</v>
      </c>
      <c r="C33" s="9">
        <f t="shared" si="0"/>
        <v>5080723706</v>
      </c>
      <c r="D33" s="9"/>
      <c r="E33" s="9">
        <v>11418153075</v>
      </c>
      <c r="F33" s="9">
        <v>15927000000</v>
      </c>
      <c r="G33" s="9">
        <v>1005067934</v>
      </c>
      <c r="H33" s="9">
        <v>-111972521</v>
      </c>
      <c r="I33" s="8"/>
      <c r="J33" s="9">
        <v>4228498699</v>
      </c>
      <c r="K33" s="9">
        <v>-40870406</v>
      </c>
      <c r="L33" s="9">
        <v>32425876781</v>
      </c>
      <c r="M33" t="b">
        <f t="shared" si="1"/>
        <v>1</v>
      </c>
      <c r="N33" s="9">
        <f t="shared" si="2"/>
        <v>32425876781</v>
      </c>
    </row>
    <row r="34" spans="1:14" x14ac:dyDescent="0.2">
      <c r="A34" s="1">
        <v>45387</v>
      </c>
      <c r="B34" s="9">
        <f t="shared" si="3"/>
        <v>12848297457</v>
      </c>
      <c r="C34" s="9">
        <f t="shared" si="0"/>
        <v>3369052044</v>
      </c>
      <c r="D34" s="9"/>
      <c r="E34" s="9">
        <v>12848297457</v>
      </c>
      <c r="F34" s="9">
        <v>16675000000</v>
      </c>
      <c r="G34" s="9">
        <v>1000608005</v>
      </c>
      <c r="H34" s="9">
        <v>-1385746122</v>
      </c>
      <c r="I34" s="8"/>
      <c r="J34" s="9">
        <v>3761817829</v>
      </c>
      <c r="K34" s="9">
        <v>-7627668</v>
      </c>
      <c r="L34" s="9">
        <v>32892349501</v>
      </c>
      <c r="M34" s="1" t="b">
        <f t="shared" si="1"/>
        <v>1</v>
      </c>
      <c r="N34" s="9">
        <f t="shared" si="2"/>
        <v>32892349501</v>
      </c>
    </row>
    <row r="35" spans="1:14" x14ac:dyDescent="0.2">
      <c r="A35" s="1">
        <v>45412</v>
      </c>
      <c r="B35" s="9">
        <f t="shared" si="3"/>
        <v>10377675993</v>
      </c>
      <c r="C35" s="9">
        <f t="shared" si="0"/>
        <v>3969715147</v>
      </c>
      <c r="D35" s="9"/>
      <c r="E35" s="9">
        <v>10377675993</v>
      </c>
      <c r="F35" s="9">
        <v>18732000000</v>
      </c>
      <c r="G35" s="9">
        <v>1005142023</v>
      </c>
      <c r="H35" s="9">
        <v>-126614888</v>
      </c>
      <c r="I35" s="8"/>
      <c r="J35" s="9">
        <v>3126173077</v>
      </c>
      <c r="K35" s="9">
        <v>-34985065</v>
      </c>
      <c r="L35" s="9">
        <v>33079391140</v>
      </c>
      <c r="M35" t="b">
        <f t="shared" si="1"/>
        <v>1</v>
      </c>
      <c r="N35" s="9">
        <f t="shared" si="2"/>
        <v>33079391140</v>
      </c>
    </row>
    <row r="36" spans="1:14" x14ac:dyDescent="0.2">
      <c r="A36" s="1">
        <v>45419</v>
      </c>
      <c r="B36" s="9">
        <f t="shared" si="3"/>
        <v>11809716018</v>
      </c>
      <c r="C36" s="9">
        <f t="shared" ref="C36:C67" si="4">+G36+H36+J36+K36</f>
        <v>3455703839</v>
      </c>
      <c r="D36" s="9"/>
      <c r="E36" s="9">
        <v>11809716018</v>
      </c>
      <c r="F36" s="9">
        <v>17951000000</v>
      </c>
      <c r="G36" s="9">
        <v>1000302045</v>
      </c>
      <c r="H36" s="9">
        <v>-1022934609</v>
      </c>
      <c r="I36" s="8"/>
      <c r="J36" s="9">
        <v>3487272631</v>
      </c>
      <c r="K36" s="9">
        <v>-8936228</v>
      </c>
      <c r="L36" s="9">
        <v>33216419857</v>
      </c>
      <c r="M36" s="1" t="b">
        <f t="shared" ref="M36:M67" si="5">IF(L36=N36,TRUE,FALSE)</f>
        <v>1</v>
      </c>
      <c r="N36" s="9">
        <f t="shared" ref="N36:N67" si="6">SUM(E36:K36)</f>
        <v>33216419857</v>
      </c>
    </row>
    <row r="37" spans="1:14" x14ac:dyDescent="0.2">
      <c r="A37" s="1">
        <v>45443</v>
      </c>
      <c r="B37" s="9">
        <f t="shared" si="3"/>
        <v>11631009304</v>
      </c>
      <c r="C37" s="9">
        <f t="shared" si="4"/>
        <v>4220634440</v>
      </c>
      <c r="D37" s="9"/>
      <c r="E37" s="9">
        <v>11631009304</v>
      </c>
      <c r="F37" s="9">
        <v>16489000000</v>
      </c>
      <c r="G37" s="9">
        <v>1004519270</v>
      </c>
      <c r="H37" s="9">
        <v>-136219066</v>
      </c>
      <c r="I37" s="8"/>
      <c r="J37" s="9">
        <v>3357248617</v>
      </c>
      <c r="K37" s="9">
        <v>-4914381</v>
      </c>
      <c r="L37" s="9">
        <v>32340643744</v>
      </c>
      <c r="M37" t="b">
        <f t="shared" si="5"/>
        <v>1</v>
      </c>
      <c r="N37" s="9">
        <f t="shared" si="6"/>
        <v>32340643744</v>
      </c>
    </row>
    <row r="38" spans="1:14" x14ac:dyDescent="0.2">
      <c r="A38" s="1">
        <v>45453</v>
      </c>
      <c r="B38" s="9">
        <f t="shared" si="3"/>
        <v>11199235131</v>
      </c>
      <c r="C38" s="9">
        <f t="shared" si="4"/>
        <v>3732082661</v>
      </c>
      <c r="D38" s="9"/>
      <c r="E38" s="9">
        <v>11199235131</v>
      </c>
      <c r="F38" s="9">
        <v>17127000000</v>
      </c>
      <c r="G38" s="9">
        <v>1000967524</v>
      </c>
      <c r="H38" s="9">
        <v>-338743308</v>
      </c>
      <c r="I38" s="8"/>
      <c r="J38" s="9">
        <v>3090844986</v>
      </c>
      <c r="K38" s="9">
        <v>-20986541</v>
      </c>
      <c r="L38" s="9">
        <v>32058317792</v>
      </c>
      <c r="M38" s="1" t="b">
        <f t="shared" si="5"/>
        <v>1</v>
      </c>
      <c r="N38" s="9">
        <f t="shared" si="6"/>
        <v>32058317792</v>
      </c>
    </row>
    <row r="39" spans="1:14" x14ac:dyDescent="0.2">
      <c r="A39" s="1">
        <v>45471</v>
      </c>
      <c r="B39" s="9">
        <f t="shared" si="3"/>
        <v>10720566593</v>
      </c>
      <c r="C39" s="9">
        <f t="shared" si="4"/>
        <v>4469754950</v>
      </c>
      <c r="D39" s="9"/>
      <c r="E39" s="9">
        <v>10720566593</v>
      </c>
      <c r="F39" s="9">
        <v>17084000000</v>
      </c>
      <c r="G39" s="9">
        <v>1004196693</v>
      </c>
      <c r="H39" s="9">
        <v>-120193196</v>
      </c>
      <c r="I39" s="8"/>
      <c r="J39" s="9">
        <v>3601833723</v>
      </c>
      <c r="K39" s="9">
        <v>-16082270</v>
      </c>
      <c r="L39" s="9">
        <v>32274321543</v>
      </c>
      <c r="M39" t="b">
        <f t="shared" si="5"/>
        <v>1</v>
      </c>
      <c r="N39" s="9">
        <f t="shared" si="6"/>
        <v>32274321543</v>
      </c>
    </row>
    <row r="40" spans="1:14" x14ac:dyDescent="0.2">
      <c r="A40" s="1">
        <v>45491</v>
      </c>
      <c r="B40" s="9">
        <f t="shared" ref="B40:B76" si="7">+E40+I40</f>
        <v>9793495123</v>
      </c>
      <c r="C40" s="9">
        <f t="shared" si="4"/>
        <v>4496837561</v>
      </c>
      <c r="D40" s="9"/>
      <c r="E40" s="9">
        <v>9793495123</v>
      </c>
      <c r="F40" s="9">
        <v>19365000000</v>
      </c>
      <c r="G40" s="9">
        <v>1000463382</v>
      </c>
      <c r="H40" s="9">
        <v>-570596214</v>
      </c>
      <c r="I40" s="8"/>
      <c r="J40" s="9">
        <v>4098344043</v>
      </c>
      <c r="K40" s="9">
        <v>-31373650</v>
      </c>
      <c r="L40" s="9">
        <v>33655332684</v>
      </c>
      <c r="M40" s="1" t="b">
        <f t="shared" si="5"/>
        <v>1</v>
      </c>
      <c r="N40" s="9">
        <f t="shared" si="6"/>
        <v>33655332684</v>
      </c>
    </row>
    <row r="41" spans="1:14" x14ac:dyDescent="0.2">
      <c r="A41" s="1">
        <v>45504</v>
      </c>
      <c r="B41" s="9">
        <f t="shared" si="7"/>
        <v>8884159331</v>
      </c>
      <c r="C41" s="9">
        <f t="shared" si="4"/>
        <v>4532685991</v>
      </c>
      <c r="D41" s="9"/>
      <c r="E41" s="9">
        <v>8884159331</v>
      </c>
      <c r="F41" s="9">
        <v>19831000000</v>
      </c>
      <c r="G41" s="9">
        <v>1005075675</v>
      </c>
      <c r="H41" s="9">
        <v>-131712130</v>
      </c>
      <c r="I41" s="8"/>
      <c r="J41" s="9">
        <v>3728381623</v>
      </c>
      <c r="K41" s="9">
        <v>-69059177</v>
      </c>
      <c r="L41" s="9">
        <v>33247845322</v>
      </c>
      <c r="M41" t="b">
        <f t="shared" si="5"/>
        <v>1</v>
      </c>
      <c r="N41" s="9">
        <f t="shared" si="6"/>
        <v>33247845322</v>
      </c>
    </row>
    <row r="42" spans="1:14" x14ac:dyDescent="0.2">
      <c r="A42" s="1">
        <v>45528</v>
      </c>
      <c r="B42" s="9">
        <f t="shared" si="7"/>
        <v>8647172626</v>
      </c>
      <c r="C42" s="9">
        <f t="shared" si="4"/>
        <v>4754880663</v>
      </c>
      <c r="D42" s="9"/>
      <c r="E42" s="9">
        <v>8647172626</v>
      </c>
      <c r="F42" s="9">
        <v>21193000000</v>
      </c>
      <c r="G42" s="9">
        <v>1000561731</v>
      </c>
      <c r="H42" s="9">
        <v>-52074860</v>
      </c>
      <c r="I42" s="8"/>
      <c r="J42" s="9">
        <v>3830872437</v>
      </c>
      <c r="K42" s="9">
        <v>-24478645</v>
      </c>
      <c r="L42" s="9">
        <v>34595053289</v>
      </c>
      <c r="M42" s="1" t="b">
        <f t="shared" si="5"/>
        <v>1</v>
      </c>
      <c r="N42" s="9">
        <f t="shared" si="6"/>
        <v>34595053289</v>
      </c>
    </row>
    <row r="43" spans="1:14" x14ac:dyDescent="0.2">
      <c r="A43" s="1">
        <v>45533</v>
      </c>
      <c r="B43" s="9">
        <f t="shared" si="7"/>
        <v>8647172626</v>
      </c>
      <c r="C43" s="9">
        <f t="shared" si="4"/>
        <v>4754880663</v>
      </c>
      <c r="D43" s="9"/>
      <c r="E43" s="9">
        <v>8647172626</v>
      </c>
      <c r="F43" s="9">
        <v>21193000000</v>
      </c>
      <c r="G43" s="9">
        <v>1000561731</v>
      </c>
      <c r="H43" s="9">
        <v>-52074860</v>
      </c>
      <c r="I43" s="8"/>
      <c r="J43" s="9">
        <v>3830872437</v>
      </c>
      <c r="K43" s="9">
        <v>-24478645</v>
      </c>
      <c r="L43" s="9">
        <v>34595053289</v>
      </c>
      <c r="M43" t="b">
        <f t="shared" si="5"/>
        <v>1</v>
      </c>
      <c r="N43" s="9">
        <f t="shared" si="6"/>
        <v>34595053289</v>
      </c>
    </row>
    <row r="44" spans="1:14" x14ac:dyDescent="0.2">
      <c r="A44" s="1">
        <v>45555</v>
      </c>
      <c r="B44" s="9">
        <f t="shared" si="7"/>
        <v>8803186597</v>
      </c>
      <c r="C44" s="9">
        <f t="shared" si="4"/>
        <v>5604355148</v>
      </c>
      <c r="D44" s="9"/>
      <c r="E44" s="9">
        <v>8803186597</v>
      </c>
      <c r="F44" s="9">
        <v>21377000000</v>
      </c>
      <c r="G44" s="9">
        <v>1000199577</v>
      </c>
      <c r="H44" s="9">
        <v>-91588307</v>
      </c>
      <c r="I44" s="8"/>
      <c r="J44" s="9">
        <v>4713381750</v>
      </c>
      <c r="K44" s="9">
        <v>-17637872</v>
      </c>
      <c r="L44" s="9">
        <v>35784541745</v>
      </c>
      <c r="M44" s="1" t="b">
        <f t="shared" si="5"/>
        <v>1</v>
      </c>
      <c r="N44" s="9">
        <f t="shared" si="6"/>
        <v>35784541745</v>
      </c>
    </row>
    <row r="45" spans="1:14" x14ac:dyDescent="0.2">
      <c r="A45" s="1">
        <v>45565</v>
      </c>
      <c r="B45" s="9">
        <f t="shared" si="7"/>
        <v>8059348784</v>
      </c>
      <c r="C45" s="9">
        <f t="shared" si="4"/>
        <v>4917973502</v>
      </c>
      <c r="D45" s="9"/>
      <c r="E45" s="9">
        <v>8059348784</v>
      </c>
      <c r="F45" s="9">
        <v>22556000000</v>
      </c>
      <c r="G45" s="9">
        <v>1004993823</v>
      </c>
      <c r="H45" s="9">
        <v>-131544740</v>
      </c>
      <c r="I45" s="8"/>
      <c r="J45" s="9">
        <v>4047881285</v>
      </c>
      <c r="K45" s="9">
        <v>-3356866</v>
      </c>
      <c r="L45" s="9">
        <v>35533322286</v>
      </c>
      <c r="M45" t="b">
        <f t="shared" si="5"/>
        <v>1</v>
      </c>
      <c r="N45" s="9">
        <f t="shared" si="6"/>
        <v>35533322286</v>
      </c>
    </row>
    <row r="46" spans="1:14" x14ac:dyDescent="0.2">
      <c r="A46" s="1">
        <v>45572</v>
      </c>
      <c r="B46" s="9">
        <f t="shared" si="7"/>
        <v>8575834259</v>
      </c>
      <c r="C46" s="9">
        <f t="shared" si="4"/>
        <v>4120930932</v>
      </c>
      <c r="D46" s="9"/>
      <c r="E46" s="9">
        <v>8575834259</v>
      </c>
      <c r="F46" s="9">
        <v>22627000000</v>
      </c>
      <c r="G46" s="9">
        <v>1000246785</v>
      </c>
      <c r="H46" s="9">
        <v>-714283177</v>
      </c>
      <c r="I46" s="8"/>
      <c r="J46" s="9">
        <v>3918875481</v>
      </c>
      <c r="K46" s="9">
        <v>-83908157</v>
      </c>
      <c r="L46" s="9">
        <v>35323765191</v>
      </c>
      <c r="M46" s="1" t="b">
        <f t="shared" si="5"/>
        <v>1</v>
      </c>
      <c r="N46" s="9">
        <f t="shared" si="6"/>
        <v>35323765191</v>
      </c>
    </row>
    <row r="47" spans="1:14" x14ac:dyDescent="0.2">
      <c r="A47" s="1">
        <v>45596</v>
      </c>
      <c r="B47" s="9">
        <f t="shared" si="7"/>
        <v>10648250115</v>
      </c>
      <c r="C47" s="9">
        <f t="shared" si="4"/>
        <v>5176318262</v>
      </c>
      <c r="D47" s="9"/>
      <c r="E47" s="9">
        <v>10648250115</v>
      </c>
      <c r="F47" s="9">
        <v>18913000000</v>
      </c>
      <c r="G47" s="9">
        <v>1004683925</v>
      </c>
      <c r="H47" s="9">
        <v>-127063091</v>
      </c>
      <c r="I47" s="8"/>
      <c r="J47" s="9">
        <v>4316618640</v>
      </c>
      <c r="K47" s="9">
        <v>-17921212</v>
      </c>
      <c r="L47" s="9">
        <v>34737568377</v>
      </c>
      <c r="M47" t="b">
        <f t="shared" si="5"/>
        <v>1</v>
      </c>
      <c r="N47" s="9">
        <f t="shared" si="6"/>
        <v>34737568377</v>
      </c>
    </row>
    <row r="48" spans="1:14" x14ac:dyDescent="0.2">
      <c r="A48" s="1">
        <v>45620</v>
      </c>
      <c r="B48" s="9">
        <f t="shared" si="7"/>
        <v>15117317784</v>
      </c>
      <c r="C48" s="9">
        <f t="shared" si="4"/>
        <v>5016749742</v>
      </c>
      <c r="D48" s="9"/>
      <c r="E48" s="9">
        <v>15117317784</v>
      </c>
      <c r="F48" s="9">
        <v>19343000000</v>
      </c>
      <c r="G48" s="9">
        <v>1000569596</v>
      </c>
      <c r="H48" s="9">
        <v>-2096668704</v>
      </c>
      <c r="I48" s="8"/>
      <c r="J48" s="9">
        <v>6199565233</v>
      </c>
      <c r="K48" s="9">
        <v>-86716383</v>
      </c>
      <c r="L48" s="9">
        <v>39477067526</v>
      </c>
      <c r="M48" s="1" t="b">
        <f t="shared" si="5"/>
        <v>1</v>
      </c>
      <c r="N48" s="9">
        <f t="shared" si="6"/>
        <v>39477067526</v>
      </c>
    </row>
    <row r="49" spans="1:14" x14ac:dyDescent="0.2">
      <c r="A49" s="1">
        <v>45625</v>
      </c>
      <c r="B49" s="9">
        <f t="shared" si="7"/>
        <v>14801641265</v>
      </c>
      <c r="C49" s="9">
        <f t="shared" si="4"/>
        <v>7319989484</v>
      </c>
      <c r="D49" s="9"/>
      <c r="E49" s="9">
        <v>14801641265</v>
      </c>
      <c r="F49" s="9">
        <v>17680000000</v>
      </c>
      <c r="G49" s="9">
        <v>1003902987</v>
      </c>
      <c r="H49" s="9">
        <v>-121325576</v>
      </c>
      <c r="I49" s="8"/>
      <c r="J49" s="9">
        <v>6505203707</v>
      </c>
      <c r="K49" s="9">
        <v>-67791634</v>
      </c>
      <c r="L49" s="9">
        <v>39801630749</v>
      </c>
      <c r="M49" t="b">
        <f t="shared" si="5"/>
        <v>1</v>
      </c>
      <c r="N49" s="9">
        <f t="shared" si="6"/>
        <v>39801630749</v>
      </c>
    </row>
    <row r="50" spans="1:14" x14ac:dyDescent="0.2">
      <c r="A50" s="1">
        <v>45635</v>
      </c>
      <c r="B50" s="9">
        <f t="shared" si="7"/>
        <v>15517335716</v>
      </c>
      <c r="C50" s="9">
        <f t="shared" si="4"/>
        <v>6658192753</v>
      </c>
      <c r="D50" s="9"/>
      <c r="E50" s="9">
        <v>15517335716</v>
      </c>
      <c r="F50" s="9">
        <v>18486000000</v>
      </c>
      <c r="G50" s="9">
        <v>1000510159</v>
      </c>
      <c r="H50" s="9">
        <v>-39617595</v>
      </c>
      <c r="I50" s="8"/>
      <c r="J50" s="9">
        <v>5787365809</v>
      </c>
      <c r="K50" s="9">
        <v>-90065620</v>
      </c>
      <c r="L50" s="9">
        <v>40661528469</v>
      </c>
      <c r="M50" s="1" t="b">
        <f t="shared" si="5"/>
        <v>1</v>
      </c>
      <c r="N50" s="9">
        <f t="shared" si="6"/>
        <v>40661528469</v>
      </c>
    </row>
    <row r="51" spans="1:14" x14ac:dyDescent="0.2">
      <c r="A51" s="1">
        <v>45657</v>
      </c>
      <c r="B51" s="9">
        <f t="shared" si="7"/>
        <v>14787448865</v>
      </c>
      <c r="C51" s="9">
        <f t="shared" si="4"/>
        <v>7271073200</v>
      </c>
      <c r="D51" s="9"/>
      <c r="E51" s="9">
        <v>14787448865</v>
      </c>
      <c r="F51" s="9">
        <v>21863000000</v>
      </c>
      <c r="G51" s="9">
        <v>1006020757</v>
      </c>
      <c r="H51" s="9">
        <v>-142139466</v>
      </c>
      <c r="I51" s="8"/>
      <c r="J51" s="9">
        <v>6479363032</v>
      </c>
      <c r="K51" s="9">
        <v>-72171123</v>
      </c>
      <c r="L51" s="9">
        <v>43921522065</v>
      </c>
      <c r="M51" t="b">
        <f t="shared" si="5"/>
        <v>1</v>
      </c>
      <c r="N51" s="9">
        <f t="shared" si="6"/>
        <v>43921522065</v>
      </c>
    </row>
    <row r="52" spans="1:14" x14ac:dyDescent="0.2">
      <c r="A52" s="1">
        <v>45663</v>
      </c>
      <c r="B52" s="9">
        <f t="shared" si="7"/>
        <v>11904075163</v>
      </c>
      <c r="C52" s="9">
        <f t="shared" si="4"/>
        <v>7963226461</v>
      </c>
      <c r="D52" s="9"/>
      <c r="E52" s="9">
        <v>11904075163</v>
      </c>
      <c r="F52" s="9">
        <v>25947000000</v>
      </c>
      <c r="G52" s="9">
        <v>1000586858</v>
      </c>
      <c r="H52" s="9">
        <v>662690404</v>
      </c>
      <c r="I52" s="8"/>
      <c r="J52" s="9">
        <v>6304543579</v>
      </c>
      <c r="K52" s="9">
        <v>-4594380</v>
      </c>
      <c r="L52" s="9">
        <v>45814301624</v>
      </c>
      <c r="M52" s="1" t="b">
        <f t="shared" si="5"/>
        <v>1</v>
      </c>
      <c r="N52" s="9">
        <f t="shared" si="6"/>
        <v>45814301624</v>
      </c>
    </row>
    <row r="53" spans="1:14" x14ac:dyDescent="0.2">
      <c r="A53" s="1">
        <v>45688</v>
      </c>
      <c r="B53" s="9">
        <f t="shared" si="7"/>
        <v>20801877573</v>
      </c>
      <c r="C53" s="9">
        <f t="shared" si="4"/>
        <v>4879922785</v>
      </c>
      <c r="D53" s="9"/>
      <c r="E53" s="9">
        <v>20801877573</v>
      </c>
      <c r="F53" s="9">
        <v>27602000000</v>
      </c>
      <c r="G53" s="9">
        <v>1004199894</v>
      </c>
      <c r="H53" s="9">
        <v>-2143608943</v>
      </c>
      <c r="I53" s="8"/>
      <c r="J53" s="9">
        <v>6115166801</v>
      </c>
      <c r="K53" s="9">
        <v>-95834967</v>
      </c>
      <c r="L53" s="9">
        <v>53283800358</v>
      </c>
      <c r="M53" t="b">
        <f t="shared" si="5"/>
        <v>1</v>
      </c>
      <c r="N53" s="9">
        <f t="shared" si="6"/>
        <v>53283800358</v>
      </c>
    </row>
    <row r="54" spans="1:14" x14ac:dyDescent="0.2">
      <c r="A54" s="1">
        <v>45692</v>
      </c>
      <c r="B54" s="9">
        <f t="shared" si="7"/>
        <v>21334341582</v>
      </c>
      <c r="C54" s="9">
        <f t="shared" si="4"/>
        <v>5338514564</v>
      </c>
      <c r="D54" s="9"/>
      <c r="E54" s="9">
        <v>21334341582</v>
      </c>
      <c r="F54" s="9">
        <v>28339000000</v>
      </c>
      <c r="G54" s="9">
        <v>1000865543</v>
      </c>
      <c r="H54" s="9">
        <v>-2409737452</v>
      </c>
      <c r="I54" s="8"/>
      <c r="J54" s="9">
        <v>6930589915</v>
      </c>
      <c r="K54" s="9">
        <v>-183203442</v>
      </c>
      <c r="L54" s="9">
        <v>55011856146</v>
      </c>
      <c r="M54" s="1" t="b">
        <f t="shared" si="5"/>
        <v>1</v>
      </c>
      <c r="N54" s="9">
        <f t="shared" si="6"/>
        <v>55011856146</v>
      </c>
    </row>
    <row r="55" spans="1:14" x14ac:dyDescent="0.2">
      <c r="A55" s="1">
        <v>45716</v>
      </c>
      <c r="B55" s="9">
        <f t="shared" si="7"/>
        <v>22047086599</v>
      </c>
      <c r="C55" s="9">
        <f t="shared" si="4"/>
        <v>6829108161</v>
      </c>
      <c r="D55" s="9"/>
      <c r="E55" s="9">
        <v>22047086599</v>
      </c>
      <c r="F55" s="9">
        <v>27473000000</v>
      </c>
      <c r="G55" s="9">
        <v>1003716452</v>
      </c>
      <c r="H55" s="9">
        <v>-1159318946</v>
      </c>
      <c r="I55" s="8"/>
      <c r="J55" s="9">
        <v>7019243460</v>
      </c>
      <c r="K55" s="9">
        <v>-34532805</v>
      </c>
      <c r="L55" s="9">
        <v>56349194760</v>
      </c>
      <c r="M55" t="b">
        <f t="shared" si="5"/>
        <v>1</v>
      </c>
      <c r="N55" s="9">
        <f t="shared" si="6"/>
        <v>56349194760</v>
      </c>
    </row>
    <row r="56" spans="1:14" x14ac:dyDescent="0.2">
      <c r="A56" s="1">
        <v>45735</v>
      </c>
      <c r="B56" s="9">
        <f t="shared" si="7"/>
        <v>22220166790</v>
      </c>
      <c r="C56" s="9">
        <f t="shared" si="4"/>
        <v>5887425338</v>
      </c>
      <c r="D56" s="9"/>
      <c r="E56" s="9">
        <v>22220166790</v>
      </c>
      <c r="F56" s="9">
        <v>31040000000</v>
      </c>
      <c r="G56" s="9">
        <v>1000774222</v>
      </c>
      <c r="H56" s="9">
        <v>-2096433792</v>
      </c>
      <c r="I56" s="8"/>
      <c r="J56" s="9">
        <v>7067110474</v>
      </c>
      <c r="K56" s="9">
        <v>-84025566</v>
      </c>
      <c r="L56" s="9">
        <v>59147592128</v>
      </c>
      <c r="M56" s="1" t="b">
        <f t="shared" si="5"/>
        <v>1</v>
      </c>
      <c r="N56" s="9">
        <f t="shared" si="6"/>
        <v>59147592128</v>
      </c>
    </row>
    <row r="57" spans="1:14" x14ac:dyDescent="0.2">
      <c r="A57" s="1">
        <v>45747</v>
      </c>
      <c r="B57" s="9">
        <f t="shared" si="7"/>
        <v>24862566987</v>
      </c>
      <c r="C57" s="9">
        <f t="shared" si="4"/>
        <v>4363140053</v>
      </c>
      <c r="D57" s="9"/>
      <c r="E57" s="9">
        <v>24862566987</v>
      </c>
      <c r="F57" s="9">
        <v>30815000000</v>
      </c>
      <c r="G57" s="9">
        <v>1004149953</v>
      </c>
      <c r="H57" s="9">
        <v>-3117173718</v>
      </c>
      <c r="I57" s="8"/>
      <c r="J57" s="9">
        <v>6592595197</v>
      </c>
      <c r="K57" s="9">
        <v>-116431379</v>
      </c>
      <c r="L57" s="9">
        <v>60040707040</v>
      </c>
      <c r="M57" t="b">
        <f t="shared" si="5"/>
        <v>1</v>
      </c>
      <c r="N57" s="9">
        <f t="shared" si="6"/>
        <v>60040707040</v>
      </c>
    </row>
    <row r="58" spans="1:14" x14ac:dyDescent="0.2">
      <c r="A58" s="1">
        <v>45750</v>
      </c>
      <c r="B58" s="9">
        <f t="shared" si="7"/>
        <v>24027987792</v>
      </c>
      <c r="C58" s="9">
        <f t="shared" si="4"/>
        <v>6398226611</v>
      </c>
      <c r="D58" s="9"/>
      <c r="E58" s="9">
        <v>24027987792</v>
      </c>
      <c r="F58" s="9">
        <v>30410000000</v>
      </c>
      <c r="G58" s="9">
        <v>1000902675</v>
      </c>
      <c r="H58" s="9">
        <v>-1574347098</v>
      </c>
      <c r="I58" s="8"/>
      <c r="J58" s="9">
        <v>6990100958</v>
      </c>
      <c r="K58" s="9">
        <v>-18429924</v>
      </c>
      <c r="L58" s="9">
        <v>60836214403</v>
      </c>
      <c r="M58" s="1" t="b">
        <f t="shared" si="5"/>
        <v>1</v>
      </c>
      <c r="N58" s="9">
        <f t="shared" si="6"/>
        <v>60836214403</v>
      </c>
    </row>
    <row r="59" spans="1:14" x14ac:dyDescent="0.2">
      <c r="A59" s="1">
        <v>45777</v>
      </c>
      <c r="B59" s="9">
        <f t="shared" si="7"/>
        <v>25481695229</v>
      </c>
      <c r="C59" s="9">
        <f t="shared" si="4"/>
        <v>4557029858</v>
      </c>
      <c r="D59" s="9"/>
      <c r="E59" s="9">
        <v>25481695229</v>
      </c>
      <c r="F59" s="9">
        <v>31439000000</v>
      </c>
      <c r="G59" s="9">
        <v>1004132744</v>
      </c>
      <c r="H59" s="9">
        <v>-3710256622</v>
      </c>
      <c r="I59" s="8"/>
      <c r="J59" s="9">
        <v>7270084526</v>
      </c>
      <c r="K59" s="9">
        <v>-6930790</v>
      </c>
      <c r="L59" s="9">
        <v>61477725087</v>
      </c>
      <c r="M59" t="b">
        <f t="shared" si="5"/>
        <v>1</v>
      </c>
      <c r="N59" s="9">
        <f t="shared" si="6"/>
        <v>61477725087</v>
      </c>
    </row>
    <row r="60" spans="1:14" x14ac:dyDescent="0.2">
      <c r="A60" s="1">
        <v>45804</v>
      </c>
      <c r="B60" s="9">
        <f t="shared" si="7"/>
        <v>28693574377</v>
      </c>
      <c r="C60" s="9">
        <f t="shared" si="4"/>
        <v>6140303638</v>
      </c>
      <c r="D60" s="9"/>
      <c r="E60" s="9">
        <v>28693574377</v>
      </c>
      <c r="F60" s="9">
        <v>26532000000</v>
      </c>
      <c r="G60" s="9">
        <v>1000322749</v>
      </c>
      <c r="H60" s="9">
        <v>-2911280721</v>
      </c>
      <c r="I60" s="8"/>
      <c r="J60" s="9">
        <v>8238377934</v>
      </c>
      <c r="K60" s="9">
        <v>-187116324</v>
      </c>
      <c r="L60" s="9">
        <v>61365878015</v>
      </c>
      <c r="M60" s="1" t="b">
        <f t="shared" si="5"/>
        <v>1</v>
      </c>
      <c r="N60" s="9">
        <f t="shared" si="6"/>
        <v>61365878015</v>
      </c>
    </row>
    <row r="61" spans="1:14" x14ac:dyDescent="0.2">
      <c r="A61" s="1">
        <v>45807</v>
      </c>
      <c r="B61" s="9">
        <f t="shared" si="7"/>
        <v>28342482586</v>
      </c>
      <c r="C61" s="9">
        <f t="shared" si="4"/>
        <v>7203883973</v>
      </c>
      <c r="D61" s="9"/>
      <c r="E61" s="9">
        <f>28342482586</f>
        <v>28342482586</v>
      </c>
      <c r="F61" s="9">
        <v>25402000000</v>
      </c>
      <c r="G61" s="9">
        <v>1004462316</v>
      </c>
      <c r="H61" s="9">
        <v>-1684309100</v>
      </c>
      <c r="I61" s="8"/>
      <c r="J61" s="9">
        <v>7919350020</v>
      </c>
      <c r="K61" s="9">
        <v>-35619263</v>
      </c>
      <c r="L61" s="9">
        <v>60948366559</v>
      </c>
      <c r="M61" t="b">
        <f t="shared" si="5"/>
        <v>1</v>
      </c>
      <c r="N61" s="9">
        <f t="shared" si="6"/>
        <v>60948366559</v>
      </c>
    </row>
    <row r="62" spans="1:14" x14ac:dyDescent="0.2">
      <c r="A62" s="1">
        <v>45820</v>
      </c>
      <c r="B62" s="9">
        <f t="shared" si="7"/>
        <v>24845006566</v>
      </c>
      <c r="C62" s="9">
        <f t="shared" si="4"/>
        <v>9260380441</v>
      </c>
      <c r="D62" s="9"/>
      <c r="E62" s="9">
        <v>24845006566</v>
      </c>
      <c r="F62" s="9">
        <v>26895000000</v>
      </c>
      <c r="G62" s="9">
        <v>1000620999</v>
      </c>
      <c r="H62" s="9">
        <v>-75977366</v>
      </c>
      <c r="I62" s="8"/>
      <c r="J62" s="9">
        <v>8412161727</v>
      </c>
      <c r="K62" s="9">
        <v>-76424919</v>
      </c>
      <c r="L62" s="9">
        <v>61000387007</v>
      </c>
      <c r="M62" s="1" t="b">
        <f t="shared" si="5"/>
        <v>1</v>
      </c>
      <c r="N62" s="9">
        <f t="shared" si="6"/>
        <v>61000387007</v>
      </c>
    </row>
    <row r="63" spans="1:14" x14ac:dyDescent="0.2">
      <c r="A63" s="1">
        <v>45838</v>
      </c>
      <c r="B63" s="9">
        <f t="shared" si="7"/>
        <v>27039491803</v>
      </c>
      <c r="C63" s="9">
        <f t="shared" si="4"/>
        <v>7292292936</v>
      </c>
      <c r="D63" s="9"/>
      <c r="E63" s="9">
        <f>27039491803</f>
        <v>27039491803</v>
      </c>
      <c r="F63" s="9">
        <v>27066000000</v>
      </c>
      <c r="G63" s="9">
        <v>1004148238</v>
      </c>
      <c r="H63" s="9">
        <v>-1944777916</v>
      </c>
      <c r="I63" s="8"/>
      <c r="J63" s="9">
        <v>8421833092</v>
      </c>
      <c r="K63" s="9">
        <v>-188910478</v>
      </c>
      <c r="L63" s="9">
        <v>61397784739</v>
      </c>
      <c r="M63" t="b">
        <f t="shared" si="5"/>
        <v>1</v>
      </c>
      <c r="N63" s="9">
        <f t="shared" si="6"/>
        <v>61397784739</v>
      </c>
    </row>
    <row r="64" spans="1:14" x14ac:dyDescent="0.2">
      <c r="A64" s="1">
        <v>45846</v>
      </c>
      <c r="B64" s="9">
        <f t="shared" si="7"/>
        <v>24316404371</v>
      </c>
      <c r="C64" s="9">
        <f t="shared" si="4"/>
        <v>6168049988</v>
      </c>
      <c r="D64" s="9"/>
      <c r="E64" s="9">
        <v>24316404371</v>
      </c>
      <c r="F64" s="9">
        <v>31382500000</v>
      </c>
      <c r="G64" s="9">
        <v>1000543889</v>
      </c>
      <c r="H64" s="9">
        <v>-3034571718</v>
      </c>
      <c r="I64" s="8"/>
      <c r="J64" s="9">
        <v>8370827322</v>
      </c>
      <c r="K64" s="9">
        <v>-168749505</v>
      </c>
      <c r="L64" s="9">
        <v>61866954359</v>
      </c>
      <c r="M64" s="1" t="b">
        <f t="shared" si="5"/>
        <v>1</v>
      </c>
      <c r="N64" s="9">
        <f t="shared" si="6"/>
        <v>61866954359</v>
      </c>
    </row>
    <row r="65" spans="1:14" x14ac:dyDescent="0.2">
      <c r="A65" s="1">
        <v>45869</v>
      </c>
      <c r="B65" s="9">
        <f t="shared" si="7"/>
        <v>18890847168</v>
      </c>
      <c r="C65" s="9">
        <f t="shared" si="4"/>
        <v>9596056073</v>
      </c>
      <c r="D65" s="9"/>
      <c r="E65" s="9">
        <f>18890847168</f>
        <v>18890847168</v>
      </c>
      <c r="F65" s="9">
        <v>35514000000</v>
      </c>
      <c r="G65" s="9">
        <v>1003751262</v>
      </c>
      <c r="H65" s="9">
        <v>-193698843</v>
      </c>
      <c r="I65" s="8"/>
      <c r="J65" s="9">
        <v>8850709405</v>
      </c>
      <c r="K65" s="9">
        <v>-64705751</v>
      </c>
      <c r="L65" s="9">
        <v>64000903241</v>
      </c>
      <c r="M65" t="b">
        <f t="shared" si="5"/>
        <v>1</v>
      </c>
      <c r="N65" s="9">
        <f t="shared" si="6"/>
        <v>64000903241</v>
      </c>
    </row>
    <row r="66" spans="1:14" x14ac:dyDescent="0.2">
      <c r="A66" s="1">
        <v>45873</v>
      </c>
      <c r="B66" s="9">
        <f t="shared" si="7"/>
        <v>21373118072</v>
      </c>
      <c r="C66" s="9">
        <f t="shared" si="4"/>
        <v>7553314241</v>
      </c>
      <c r="D66" s="9"/>
      <c r="E66" s="9">
        <v>21373118072</v>
      </c>
      <c r="F66" s="9">
        <v>35337000000</v>
      </c>
      <c r="G66" s="9">
        <v>1000136286</v>
      </c>
      <c r="H66" s="9">
        <v>-2495352739</v>
      </c>
      <c r="I66" s="8"/>
      <c r="J66" s="9">
        <v>9059232447</v>
      </c>
      <c r="K66" s="9">
        <v>-10701753</v>
      </c>
      <c r="L66" s="9">
        <v>64263432313</v>
      </c>
      <c r="M66" s="1" t="b">
        <f t="shared" si="5"/>
        <v>1</v>
      </c>
      <c r="N66" s="9">
        <f t="shared" si="6"/>
        <v>64263432313</v>
      </c>
    </row>
    <row r="67" spans="1:14" x14ac:dyDescent="0.2">
      <c r="A67" s="1">
        <v>45898</v>
      </c>
      <c r="B67" s="9">
        <f t="shared" si="7"/>
        <v>24405584005</v>
      </c>
      <c r="C67" s="9">
        <f t="shared" si="4"/>
        <v>10138542626</v>
      </c>
      <c r="D67" s="9"/>
      <c r="E67" s="9">
        <f>24405584005</f>
        <v>24405584005</v>
      </c>
      <c r="F67" s="9">
        <v>36906000000</v>
      </c>
      <c r="G67" s="9">
        <v>1003385732</v>
      </c>
      <c r="H67" s="9">
        <v>-1299946884</v>
      </c>
      <c r="I67" s="8"/>
      <c r="J67" s="9">
        <v>10347775187</v>
      </c>
      <c r="K67" s="9">
        <v>87328591</v>
      </c>
      <c r="L67" s="9">
        <v>71450126631</v>
      </c>
      <c r="M67" t="b">
        <f t="shared" si="5"/>
        <v>1</v>
      </c>
      <c r="N67" s="9">
        <f t="shared" si="6"/>
        <v>71450126631</v>
      </c>
    </row>
    <row r="68" spans="1:14" x14ac:dyDescent="0.2">
      <c r="A68" s="1">
        <v>45918</v>
      </c>
      <c r="B68" s="9">
        <f t="shared" si="7"/>
        <v>24339807688</v>
      </c>
      <c r="C68" s="9">
        <f t="shared" ref="C68:C82" si="8">+G68+H68+J68+K68</f>
        <v>11051887989</v>
      </c>
      <c r="D68" s="9"/>
      <c r="E68" s="9">
        <v>24339807688</v>
      </c>
      <c r="F68" s="9">
        <v>38899000000</v>
      </c>
      <c r="G68" s="9">
        <v>1000687203</v>
      </c>
      <c r="H68" s="9">
        <v>-124294056</v>
      </c>
      <c r="I68" s="8"/>
      <c r="J68" s="9">
        <v>10116094122</v>
      </c>
      <c r="K68" s="9">
        <v>59400720</v>
      </c>
      <c r="L68" s="9">
        <v>74290695677</v>
      </c>
      <c r="M68" s="1" t="b">
        <f t="shared" ref="M68:M82" si="9">IF(L68=N68,TRUE,FALSE)</f>
        <v>1</v>
      </c>
      <c r="N68" s="9">
        <f t="shared" ref="N68:N82" si="10">SUM(E68:K68)</f>
        <v>74290695677</v>
      </c>
    </row>
    <row r="69" spans="1:14" x14ac:dyDescent="0.2">
      <c r="A69" s="1">
        <v>45930</v>
      </c>
      <c r="B69" s="9">
        <f t="shared" si="7"/>
        <v>21761417417</v>
      </c>
      <c r="C69" s="9">
        <f t="shared" si="8"/>
        <v>10434109556</v>
      </c>
      <c r="D69" s="9"/>
      <c r="E69" s="9">
        <f>21761417417</f>
        <v>21761417417</v>
      </c>
      <c r="F69" s="9">
        <v>41619000000</v>
      </c>
      <c r="G69" s="9">
        <v>1003781600</v>
      </c>
      <c r="H69" s="9">
        <v>-218998182</v>
      </c>
      <c r="I69" s="8"/>
      <c r="J69" s="9">
        <v>9554821716</v>
      </c>
      <c r="K69" s="9">
        <v>94504422</v>
      </c>
      <c r="L69" s="9">
        <v>73814526973</v>
      </c>
      <c r="M69" t="b">
        <f t="shared" si="9"/>
        <v>1</v>
      </c>
      <c r="N69" s="9">
        <f t="shared" si="10"/>
        <v>73814526973</v>
      </c>
    </row>
    <row r="70" spans="1:14" x14ac:dyDescent="0.2">
      <c r="A70" s="1">
        <v>45943</v>
      </c>
      <c r="B70" s="9">
        <f t="shared" si="7"/>
        <v>23713203937</v>
      </c>
      <c r="C70" s="9">
        <f t="shared" si="8"/>
        <v>9356577676</v>
      </c>
      <c r="D70" s="9"/>
      <c r="E70" s="9">
        <v>23713203937</v>
      </c>
      <c r="F70" s="9">
        <v>42718000000</v>
      </c>
      <c r="G70" s="9">
        <v>999147093</v>
      </c>
      <c r="H70" s="9">
        <v>-1765058870</v>
      </c>
      <c r="I70" s="8"/>
      <c r="J70" s="9">
        <v>9461506159</v>
      </c>
      <c r="K70" s="9">
        <v>660983294</v>
      </c>
      <c r="L70" s="9">
        <v>75787781613</v>
      </c>
      <c r="M70" s="1" t="b">
        <f t="shared" si="9"/>
        <v>1</v>
      </c>
      <c r="N70" s="9">
        <f t="shared" si="10"/>
        <v>75787781613</v>
      </c>
    </row>
    <row r="71" spans="1:14" x14ac:dyDescent="0.2">
      <c r="A71" s="1">
        <v>45961</v>
      </c>
      <c r="B71" s="9">
        <f t="shared" si="7"/>
        <v>26868073557</v>
      </c>
      <c r="C71" s="9">
        <f t="shared" si="8"/>
        <v>8814312503</v>
      </c>
      <c r="D71" s="9"/>
      <c r="E71" s="9">
        <v>26868073557</v>
      </c>
      <c r="F71" s="9">
        <v>40196000000</v>
      </c>
      <c r="G71" s="9">
        <v>1003490905</v>
      </c>
      <c r="H71" s="9">
        <v>-2001850493</v>
      </c>
      <c r="I71" s="8"/>
      <c r="J71" s="9">
        <v>9747275564</v>
      </c>
      <c r="K71" s="9">
        <v>65396527</v>
      </c>
      <c r="L71" s="9">
        <v>75878386060</v>
      </c>
      <c r="M71" t="b">
        <f t="shared" si="9"/>
        <v>1</v>
      </c>
      <c r="N71" s="9">
        <f t="shared" si="10"/>
        <v>75878386060</v>
      </c>
    </row>
    <row r="72" spans="1:14" x14ac:dyDescent="0.2">
      <c r="A72" s="1">
        <v>45964</v>
      </c>
      <c r="B72" s="9">
        <f t="shared" si="7"/>
        <v>26870386119</v>
      </c>
      <c r="C72" s="9">
        <f t="shared" si="8"/>
        <v>8520001553</v>
      </c>
      <c r="D72" s="9"/>
      <c r="E72" s="9">
        <v>26870386119</v>
      </c>
      <c r="F72" s="9">
        <v>40146000000</v>
      </c>
      <c r="G72" s="9">
        <v>1000519804</v>
      </c>
      <c r="H72" s="9">
        <v>-2451177590</v>
      </c>
      <c r="I72" s="8"/>
      <c r="J72" s="9">
        <v>9894813961</v>
      </c>
      <c r="K72" s="9">
        <v>75845378</v>
      </c>
      <c r="L72" s="9">
        <v>75536387672</v>
      </c>
      <c r="M72" s="1" t="b">
        <f t="shared" si="9"/>
        <v>1</v>
      </c>
      <c r="N72" s="9">
        <f t="shared" si="10"/>
        <v>75536387672</v>
      </c>
    </row>
    <row r="73" spans="1:14" x14ac:dyDescent="0.2">
      <c r="A73" s="1">
        <v>45989</v>
      </c>
      <c r="B73" s="9">
        <f t="shared" si="7"/>
        <v>24515510489</v>
      </c>
      <c r="C73" s="9">
        <f t="shared" si="8"/>
        <v>11337662250</v>
      </c>
      <c r="D73" s="9"/>
      <c r="E73" s="9">
        <v>24515510489</v>
      </c>
      <c r="F73" s="9">
        <v>40649000000</v>
      </c>
      <c r="G73" s="9">
        <v>1003901491</v>
      </c>
      <c r="H73" s="9">
        <v>-202130826</v>
      </c>
      <c r="I73" s="8"/>
      <c r="J73" s="9">
        <v>10415377445</v>
      </c>
      <c r="K73" s="9">
        <v>120514140</v>
      </c>
      <c r="L73" s="9">
        <v>76502172739</v>
      </c>
      <c r="M73" t="b">
        <f t="shared" si="9"/>
        <v>1</v>
      </c>
      <c r="N73" s="9">
        <f t="shared" si="10"/>
        <v>76502172739</v>
      </c>
    </row>
    <row r="74" spans="1:14" x14ac:dyDescent="0.2">
      <c r="A74" s="1">
        <v>46017</v>
      </c>
      <c r="B74" s="9">
        <f t="shared" si="7"/>
        <v>17542700647</v>
      </c>
      <c r="C74" s="9">
        <f t="shared" si="8"/>
        <v>7487806675</v>
      </c>
      <c r="D74" s="9"/>
      <c r="E74" s="9">
        <v>17542700647</v>
      </c>
      <c r="F74" s="9">
        <v>51441000000</v>
      </c>
      <c r="G74" s="9">
        <v>1000427101</v>
      </c>
      <c r="H74" s="9">
        <v>-3167648564</v>
      </c>
      <c r="I74" s="8"/>
      <c r="J74" s="9">
        <v>9411883726</v>
      </c>
      <c r="K74" s="9">
        <v>243144412</v>
      </c>
      <c r="L74" s="9">
        <v>76471507322</v>
      </c>
      <c r="M74" t="b">
        <f t="shared" si="9"/>
        <v>1</v>
      </c>
      <c r="N74" s="9">
        <f t="shared" si="10"/>
        <v>76471507322</v>
      </c>
    </row>
    <row r="75" spans="1:14" x14ac:dyDescent="0.2">
      <c r="A75" s="1">
        <v>46017</v>
      </c>
      <c r="B75" s="9">
        <f t="shared" si="7"/>
        <v>17542700647</v>
      </c>
      <c r="C75" s="9">
        <f t="shared" si="8"/>
        <v>7487806675</v>
      </c>
      <c r="D75" s="9"/>
      <c r="E75" s="9">
        <v>17542700647</v>
      </c>
      <c r="F75" s="9">
        <v>51441000000</v>
      </c>
      <c r="G75" s="9">
        <v>1000427101</v>
      </c>
      <c r="H75" s="9">
        <v>-3167648564</v>
      </c>
      <c r="I75" s="8"/>
      <c r="J75" s="9">
        <v>9411883726</v>
      </c>
      <c r="K75" s="9">
        <v>243144412</v>
      </c>
      <c r="L75" s="9">
        <v>76471507322</v>
      </c>
      <c r="M75" s="1" t="b">
        <f t="shared" si="9"/>
        <v>1</v>
      </c>
      <c r="N75" s="9">
        <f t="shared" si="10"/>
        <v>76471507322</v>
      </c>
    </row>
    <row r="76" spans="1:14" x14ac:dyDescent="0.2">
      <c r="A76" s="1">
        <v>46022</v>
      </c>
      <c r="B76" s="9">
        <f t="shared" si="7"/>
        <v>14963264493</v>
      </c>
      <c r="C76" s="9">
        <f t="shared" si="8"/>
        <v>9579717483</v>
      </c>
      <c r="D76" s="9"/>
      <c r="E76" s="9">
        <v>14963264493</v>
      </c>
      <c r="F76" s="9">
        <v>50790000000</v>
      </c>
      <c r="G76" s="9">
        <v>1003742202</v>
      </c>
      <c r="H76" s="9">
        <v>-440450382</v>
      </c>
      <c r="I76" s="8"/>
      <c r="J76" s="9">
        <v>9003263619</v>
      </c>
      <c r="K76" s="9">
        <v>13162044</v>
      </c>
      <c r="L76" s="9">
        <v>75332981976</v>
      </c>
      <c r="M76" s="1" t="b">
        <f t="shared" si="9"/>
        <v>1</v>
      </c>
      <c r="N76" s="9">
        <f t="shared" si="10"/>
        <v>75332981976</v>
      </c>
    </row>
    <row r="77" spans="1:14" x14ac:dyDescent="0.2">
      <c r="A77" s="1">
        <v>46038</v>
      </c>
      <c r="B77" s="9">
        <v>17490520321</v>
      </c>
      <c r="C77" s="9">
        <f t="shared" si="8"/>
        <v>10950565006</v>
      </c>
      <c r="D77" s="9"/>
      <c r="E77" s="9">
        <v>17490520321</v>
      </c>
      <c r="F77" s="9">
        <v>47525000000</v>
      </c>
      <c r="G77" s="9">
        <v>1000583074</v>
      </c>
      <c r="H77" s="9">
        <v>-1199128343</v>
      </c>
      <c r="I77" s="8">
        <v>0</v>
      </c>
      <c r="J77" s="9">
        <v>11127282245</v>
      </c>
      <c r="K77" s="9">
        <v>21828030</v>
      </c>
      <c r="L77" s="9">
        <v>75966085327</v>
      </c>
      <c r="M77" s="1" t="b">
        <f t="shared" si="9"/>
        <v>1</v>
      </c>
      <c r="N77" s="9">
        <f t="shared" si="10"/>
        <v>75966085327</v>
      </c>
    </row>
    <row r="78" spans="1:14" x14ac:dyDescent="0.2">
      <c r="A78" s="1">
        <v>46052</v>
      </c>
      <c r="B78" s="9">
        <v>18809053367</v>
      </c>
      <c r="C78" s="9">
        <f t="shared" si="8"/>
        <v>11014038548</v>
      </c>
      <c r="D78" s="9"/>
      <c r="E78" s="9">
        <v>18809053367</v>
      </c>
      <c r="F78" s="9">
        <v>40199000000</v>
      </c>
      <c r="G78" s="9">
        <v>1003866460</v>
      </c>
      <c r="H78" s="9">
        <v>-194936932</v>
      </c>
      <c r="I78" s="8">
        <v>0</v>
      </c>
      <c r="J78" s="9">
        <v>10156944576</v>
      </c>
      <c r="K78" s="9">
        <v>48164444</v>
      </c>
      <c r="L78" s="9">
        <v>70022091915</v>
      </c>
      <c r="M78" s="1" t="b">
        <f t="shared" si="9"/>
        <v>1</v>
      </c>
      <c r="N78" s="9">
        <f t="shared" si="10"/>
        <v>70022091915</v>
      </c>
    </row>
    <row r="79" spans="1:14" x14ac:dyDescent="0.2">
      <c r="A79" s="1">
        <v>46072</v>
      </c>
      <c r="B79" s="9">
        <v>22348541548</v>
      </c>
      <c r="C79" s="9">
        <f t="shared" si="8"/>
        <v>9298740147</v>
      </c>
      <c r="D79" s="9"/>
      <c r="E79" s="9">
        <v>22348541548</v>
      </c>
      <c r="F79" s="9">
        <v>42155500000</v>
      </c>
      <c r="G79" s="9">
        <v>1000423657</v>
      </c>
      <c r="H79" s="9">
        <v>-1637482267</v>
      </c>
      <c r="I79" s="8"/>
      <c r="J79" s="9">
        <v>9871545353</v>
      </c>
      <c r="K79" s="9">
        <v>64253404</v>
      </c>
      <c r="L79" s="9">
        <v>73802781695</v>
      </c>
      <c r="M79" s="1" t="b">
        <f t="shared" si="9"/>
        <v>1</v>
      </c>
      <c r="N79" s="9">
        <f t="shared" si="10"/>
        <v>73802781695</v>
      </c>
    </row>
    <row r="80" spans="1:14" x14ac:dyDescent="0.2">
      <c r="A80" s="1">
        <v>46080</v>
      </c>
      <c r="B80" s="9">
        <v>20435478946</v>
      </c>
      <c r="C80" s="9">
        <f t="shared" si="8"/>
        <v>10170082354</v>
      </c>
      <c r="D80" s="9"/>
      <c r="E80" s="9">
        <v>20435478946</v>
      </c>
      <c r="F80" s="9">
        <v>44571000000</v>
      </c>
      <c r="G80" s="9">
        <v>1003524160</v>
      </c>
      <c r="H80" s="9">
        <v>-1242982596</v>
      </c>
      <c r="I80" s="8"/>
      <c r="J80" s="9">
        <v>10382232878</v>
      </c>
      <c r="K80" s="9">
        <v>27307912</v>
      </c>
      <c r="L80" s="9">
        <v>75176561300</v>
      </c>
      <c r="M80" s="1" t="b">
        <f t="shared" si="9"/>
        <v>1</v>
      </c>
      <c r="N80" s="9">
        <f t="shared" si="10"/>
        <v>75176561300</v>
      </c>
    </row>
    <row r="81" spans="1:14" x14ac:dyDescent="0.2">
      <c r="A81" s="1">
        <v>46092</v>
      </c>
      <c r="B81" s="9">
        <v>20992825865</v>
      </c>
      <c r="C81" s="9">
        <f t="shared" si="8"/>
        <v>11178724459</v>
      </c>
      <c r="D81" s="9"/>
      <c r="E81" s="9">
        <v>20992825865</v>
      </c>
      <c r="F81" s="9">
        <v>46577000000</v>
      </c>
      <c r="G81" s="9">
        <v>1000201154</v>
      </c>
      <c r="H81" s="9">
        <v>-1203001469</v>
      </c>
      <c r="I81" s="8"/>
      <c r="J81" s="9">
        <v>11260757106</v>
      </c>
      <c r="K81" s="9">
        <v>120767668</v>
      </c>
      <c r="L81" s="9">
        <v>78748550324</v>
      </c>
      <c r="M81" s="1" t="b">
        <f t="shared" si="9"/>
        <v>1</v>
      </c>
      <c r="N81" s="9">
        <f t="shared" si="10"/>
        <v>78748550324</v>
      </c>
    </row>
    <row r="82" spans="1:14" x14ac:dyDescent="0.2">
      <c r="A82" s="1">
        <v>46112</v>
      </c>
      <c r="B82" s="9">
        <v>24913211699</v>
      </c>
      <c r="C82" s="9">
        <f t="shared" si="8"/>
        <v>11456119255</v>
      </c>
      <c r="D82" s="9"/>
      <c r="E82" s="9">
        <v>24913211699</v>
      </c>
      <c r="F82" s="9">
        <v>40756000000</v>
      </c>
      <c r="G82" s="9">
        <v>1003770592</v>
      </c>
      <c r="H82" s="9">
        <v>-205943386</v>
      </c>
      <c r="I82" s="8"/>
      <c r="J82" s="9">
        <v>10361225037</v>
      </c>
      <c r="K82" s="9">
        <v>297067012</v>
      </c>
      <c r="L82" s="11">
        <v>77125330954</v>
      </c>
      <c r="M82" s="1" t="b">
        <f t="shared" si="9"/>
        <v>1</v>
      </c>
      <c r="N82" s="9">
        <f t="shared" si="10"/>
        <v>77125330954</v>
      </c>
    </row>
    <row r="83" spans="1:14" x14ac:dyDescent="0.2">
      <c r="A83" s="1"/>
      <c r="B83" s="9"/>
      <c r="C83" s="9"/>
      <c r="D83" s="9"/>
      <c r="E83" s="9"/>
      <c r="F83" s="9"/>
      <c r="G83" s="9"/>
      <c r="H83" s="9"/>
      <c r="I83" s="8"/>
      <c r="K83" s="9"/>
      <c r="L83" s="11"/>
      <c r="M83" s="1"/>
    </row>
    <row r="84" spans="1:14" x14ac:dyDescent="0.2">
      <c r="A84" s="1"/>
      <c r="B84" s="9"/>
      <c r="C84" s="9"/>
      <c r="D84" s="9"/>
      <c r="E84" s="9"/>
      <c r="F84" s="9"/>
      <c r="G84" s="9"/>
      <c r="H84" s="9"/>
      <c r="I84" s="8"/>
      <c r="K84" s="9"/>
      <c r="L84" s="11"/>
      <c r="M84" s="1"/>
    </row>
    <row r="85" spans="1:14" x14ac:dyDescent="0.2">
      <c r="A85" s="1"/>
      <c r="B85" s="9"/>
      <c r="C85" s="9"/>
      <c r="D85" s="9"/>
      <c r="E85" s="9"/>
      <c r="F85" s="9"/>
      <c r="G85" s="9"/>
      <c r="H85" s="9"/>
      <c r="I85" s="8"/>
      <c r="K85" s="9"/>
      <c r="L85" s="11"/>
      <c r="M85" s="1"/>
    </row>
    <row r="86" spans="1:14" x14ac:dyDescent="0.2">
      <c r="A86" s="1"/>
      <c r="B86" s="9"/>
      <c r="C86" s="9"/>
      <c r="D86" s="9"/>
      <c r="E86" s="9"/>
      <c r="F86" s="9"/>
      <c r="G86" s="9"/>
      <c r="H86" s="9"/>
      <c r="I86" s="8"/>
      <c r="K86" s="9"/>
      <c r="L86" s="11"/>
      <c r="M86" s="1"/>
    </row>
    <row r="87" spans="1:14" x14ac:dyDescent="0.2">
      <c r="A87" s="1"/>
      <c r="B87" s="9"/>
      <c r="C87" s="9"/>
      <c r="D87" s="9"/>
      <c r="E87" s="9"/>
      <c r="F87" s="9"/>
      <c r="G87" s="9"/>
      <c r="H87" s="9"/>
      <c r="I87" s="8"/>
      <c r="K87" s="9"/>
      <c r="L87" s="11"/>
      <c r="M87" s="1"/>
    </row>
    <row r="88" spans="1:14" x14ac:dyDescent="0.2">
      <c r="A88" s="1"/>
      <c r="B88" s="9"/>
      <c r="C88" s="9"/>
      <c r="D88" s="9"/>
      <c r="E88" s="9"/>
      <c r="F88" s="9"/>
      <c r="G88" s="9"/>
      <c r="H88" s="9"/>
      <c r="I88" s="8"/>
      <c r="K88" s="9"/>
      <c r="L88" s="11"/>
      <c r="M88" s="1"/>
    </row>
    <row r="89" spans="1:14" x14ac:dyDescent="0.2">
      <c r="A89" s="1"/>
      <c r="B89" s="9"/>
      <c r="C89" s="9"/>
      <c r="D89" s="9"/>
      <c r="E89" s="9"/>
      <c r="F89" s="9"/>
      <c r="G89" s="9"/>
      <c r="H89" s="9"/>
      <c r="I89" s="8"/>
      <c r="K89" s="9"/>
      <c r="L89" s="11"/>
      <c r="M89" s="1"/>
    </row>
    <row r="90" spans="1:14" x14ac:dyDescent="0.2">
      <c r="A90" s="1"/>
      <c r="B90" s="9"/>
      <c r="C90" s="9"/>
      <c r="D90" s="9"/>
      <c r="E90" s="9"/>
      <c r="F90" s="9"/>
      <c r="G90" s="9"/>
      <c r="H90" s="9"/>
      <c r="I90" s="8"/>
      <c r="K90" s="9"/>
      <c r="L90" s="11"/>
      <c r="M90" s="1"/>
    </row>
    <row r="91" spans="1:14" x14ac:dyDescent="0.2">
      <c r="A91" s="1"/>
      <c r="B91" s="9"/>
      <c r="C91" s="9"/>
      <c r="D91" s="9"/>
      <c r="E91" s="9"/>
      <c r="F91" s="9"/>
      <c r="G91" s="9"/>
      <c r="H91" s="9"/>
      <c r="I91" s="8"/>
      <c r="K91" s="9"/>
      <c r="L91" s="11"/>
      <c r="M91" s="1"/>
    </row>
    <row r="92" spans="1:14" x14ac:dyDescent="0.2">
      <c r="A92" s="1"/>
      <c r="B92" s="9"/>
      <c r="C92" s="9"/>
      <c r="D92" s="9"/>
      <c r="E92" s="9"/>
      <c r="F92" s="9"/>
      <c r="G92" s="9"/>
      <c r="H92" s="9"/>
      <c r="I92" s="8"/>
      <c r="K92" s="9"/>
      <c r="L92" s="11"/>
      <c r="M92" s="1"/>
    </row>
    <row r="93" spans="1:14" x14ac:dyDescent="0.2">
      <c r="A93" s="1"/>
      <c r="B93" s="9"/>
      <c r="C93" s="9"/>
      <c r="D93" s="9"/>
      <c r="E93" s="9"/>
      <c r="F93" s="9"/>
      <c r="G93" s="9"/>
      <c r="H93" s="9"/>
      <c r="I93" s="8"/>
      <c r="K93" s="9"/>
      <c r="L93" s="11"/>
      <c r="M93" s="1"/>
    </row>
    <row r="94" spans="1:14" x14ac:dyDescent="0.2">
      <c r="A94" s="1"/>
      <c r="B94" s="9"/>
      <c r="C94" s="9"/>
      <c r="D94" s="9"/>
      <c r="E94" s="9"/>
      <c r="F94" s="9"/>
      <c r="G94" s="9"/>
      <c r="H94" s="9"/>
      <c r="I94" s="8"/>
      <c r="K94" s="9"/>
      <c r="L94" s="11"/>
      <c r="M94" s="1"/>
    </row>
    <row r="95" spans="1:14" x14ac:dyDescent="0.2">
      <c r="A95" s="1"/>
      <c r="B95" s="9"/>
      <c r="C95" s="9"/>
      <c r="D95" s="9"/>
      <c r="E95" s="9"/>
      <c r="F95" s="9"/>
      <c r="G95" s="9"/>
      <c r="H95" s="9"/>
      <c r="I95" s="8"/>
      <c r="K95" s="9"/>
      <c r="L95" s="11"/>
      <c r="M95" s="1"/>
    </row>
    <row r="96" spans="1:14" x14ac:dyDescent="0.2">
      <c r="A96" s="1"/>
      <c r="B96" s="9"/>
      <c r="C96" s="9"/>
      <c r="D96" s="9"/>
      <c r="E96" s="9"/>
      <c r="F96" s="9"/>
      <c r="G96" s="9"/>
      <c r="H96" s="9"/>
      <c r="I96" s="8"/>
      <c r="K96" s="9"/>
      <c r="L96" s="11"/>
      <c r="M96" s="1"/>
    </row>
    <row r="97" spans="2:12" x14ac:dyDescent="0.2">
      <c r="B97" s="11"/>
      <c r="C97" s="11"/>
      <c r="D97" s="11"/>
      <c r="E97" s="11"/>
      <c r="F97" s="11"/>
      <c r="G97" s="11"/>
      <c r="H97" s="11"/>
      <c r="I97" s="11"/>
      <c r="K97" s="11"/>
      <c r="L97" s="11"/>
    </row>
    <row r="98" spans="2:12" x14ac:dyDescent="0.2">
      <c r="B98" s="11"/>
      <c r="C98" s="11"/>
      <c r="D98" s="11"/>
      <c r="E98" s="11"/>
      <c r="F98" s="11"/>
      <c r="G98" s="11"/>
      <c r="H98" s="11"/>
      <c r="I98" s="11"/>
      <c r="K98" s="11"/>
      <c r="L98" s="11"/>
    </row>
    <row r="99" spans="2:12" x14ac:dyDescent="0.2">
      <c r="B99" s="11"/>
      <c r="C99" s="11"/>
      <c r="D99" s="11"/>
      <c r="E99" s="11"/>
      <c r="F99" s="11"/>
      <c r="G99" s="11"/>
      <c r="H99" s="11"/>
      <c r="I99" s="11"/>
      <c r="K99" s="11"/>
      <c r="L99" s="11"/>
    </row>
    <row r="100" spans="2:12" x14ac:dyDescent="0.2">
      <c r="B100" s="11"/>
      <c r="C100" s="11"/>
      <c r="D100" s="11"/>
      <c r="E100" s="11"/>
      <c r="F100" s="11"/>
      <c r="G100" s="11"/>
      <c r="H100" s="11"/>
      <c r="I100" s="11"/>
      <c r="K100" s="11"/>
      <c r="L100" s="11"/>
    </row>
    <row r="101" spans="2:12" x14ac:dyDescent="0.2">
      <c r="B101" s="11"/>
      <c r="C101" s="11"/>
      <c r="D101" s="11"/>
      <c r="E101" s="11"/>
      <c r="F101" s="11"/>
      <c r="G101" s="11"/>
      <c r="H101" s="11"/>
      <c r="I101" s="11"/>
      <c r="K101" s="11"/>
      <c r="L101" s="11"/>
    </row>
    <row r="102" spans="2:12" x14ac:dyDescent="0.2">
      <c r="B102" s="11"/>
      <c r="C102" s="11"/>
      <c r="D102" s="11"/>
      <c r="E102" s="11"/>
      <c r="F102" s="11"/>
      <c r="G102" s="11"/>
      <c r="H102" s="11"/>
      <c r="I102" s="11"/>
      <c r="K102" s="11"/>
      <c r="L102" s="11"/>
    </row>
    <row r="103" spans="2:12" x14ac:dyDescent="0.2">
      <c r="B103" s="11"/>
      <c r="C103" s="11"/>
      <c r="D103" s="11"/>
      <c r="E103" s="11"/>
      <c r="F103" s="11"/>
      <c r="G103" s="11"/>
      <c r="H103" s="11"/>
      <c r="I103" s="11"/>
      <c r="K103" s="11"/>
      <c r="L103" s="11"/>
    </row>
    <row r="104" spans="2:12" x14ac:dyDescent="0.2">
      <c r="B104" s="11"/>
      <c r="C104" s="11"/>
      <c r="D104" s="11"/>
      <c r="E104" s="11"/>
      <c r="F104" s="11"/>
      <c r="G104" s="11"/>
      <c r="H104" s="11"/>
      <c r="I104" s="11"/>
      <c r="K104" s="11"/>
      <c r="L104" s="11"/>
    </row>
    <row r="105" spans="2:12" x14ac:dyDescent="0.2">
      <c r="B105" s="11"/>
      <c r="C105" s="11"/>
      <c r="D105" s="11"/>
      <c r="E105" s="11"/>
      <c r="F105" s="11"/>
      <c r="G105" s="11"/>
      <c r="H105" s="11"/>
      <c r="I105" s="11"/>
      <c r="K105" s="11"/>
      <c r="L105" s="11"/>
    </row>
    <row r="106" spans="2:12" x14ac:dyDescent="0.2">
      <c r="B106" s="11"/>
      <c r="C106" s="11"/>
      <c r="D106" s="11"/>
      <c r="E106" s="11"/>
      <c r="F106" s="11"/>
      <c r="G106" s="11"/>
      <c r="H106" s="11"/>
      <c r="I106" s="11"/>
      <c r="K106" s="11"/>
      <c r="L106" s="11"/>
    </row>
    <row r="107" spans="2:12" x14ac:dyDescent="0.2">
      <c r="B107" s="11"/>
      <c r="C107" s="11"/>
      <c r="D107" s="11"/>
      <c r="E107" s="11"/>
      <c r="F107" s="11"/>
      <c r="G107" s="11"/>
      <c r="H107" s="11"/>
      <c r="I107" s="11"/>
      <c r="K107" s="11"/>
      <c r="L107" s="11"/>
    </row>
    <row r="108" spans="2:12" x14ac:dyDescent="0.2">
      <c r="B108" s="11"/>
      <c r="C108" s="11"/>
      <c r="D108" s="11"/>
      <c r="E108" s="11"/>
      <c r="F108" s="11"/>
      <c r="G108" s="11"/>
      <c r="H108" s="11"/>
      <c r="I108" s="11"/>
      <c r="K108" s="11"/>
      <c r="L108" s="11"/>
    </row>
    <row r="109" spans="2:12" x14ac:dyDescent="0.2">
      <c r="B109" s="11"/>
      <c r="C109" s="11"/>
      <c r="D109" s="11"/>
      <c r="E109" s="11"/>
      <c r="F109" s="11"/>
      <c r="G109" s="11"/>
      <c r="H109" s="11"/>
      <c r="I109" s="11"/>
      <c r="K109" s="11"/>
      <c r="L109" s="11"/>
    </row>
    <row r="110" spans="2:12" x14ac:dyDescent="0.2">
      <c r="B110" s="11"/>
      <c r="C110" s="11"/>
      <c r="D110" s="11"/>
      <c r="E110" s="11"/>
      <c r="F110" s="11"/>
      <c r="G110" s="11"/>
      <c r="H110" s="11"/>
      <c r="I110" s="11"/>
      <c r="K110" s="11"/>
      <c r="L110" s="11"/>
    </row>
    <row r="111" spans="2:12" x14ac:dyDescent="0.2">
      <c r="B111" s="11"/>
      <c r="C111" s="11"/>
      <c r="D111" s="11"/>
      <c r="E111" s="11"/>
      <c r="F111" s="11"/>
      <c r="G111" s="11"/>
      <c r="H111" s="11"/>
      <c r="I111" s="11"/>
      <c r="K111" s="11"/>
      <c r="L111" s="11"/>
    </row>
    <row r="112" spans="2:12" x14ac:dyDescent="0.2">
      <c r="B112" s="11"/>
      <c r="C112" s="11"/>
      <c r="D112" s="11"/>
      <c r="E112" s="11"/>
      <c r="F112" s="11"/>
      <c r="G112" s="11"/>
      <c r="H112" s="11"/>
      <c r="I112" s="11"/>
      <c r="K112" s="11"/>
      <c r="L112" s="11"/>
    </row>
    <row r="113" spans="2:12" x14ac:dyDescent="0.2">
      <c r="B113" s="11"/>
      <c r="C113" s="11"/>
      <c r="D113" s="11"/>
      <c r="E113" s="11"/>
      <c r="F113" s="11"/>
      <c r="G113" s="11"/>
      <c r="H113" s="11"/>
      <c r="I113" s="11"/>
      <c r="K113" s="11"/>
      <c r="L113" s="11"/>
    </row>
    <row r="114" spans="2:12" x14ac:dyDescent="0.2">
      <c r="B114" s="11"/>
      <c r="C114" s="11"/>
      <c r="D114" s="11"/>
      <c r="E114" s="11"/>
      <c r="F114" s="11"/>
      <c r="G114" s="11"/>
      <c r="H114" s="11"/>
      <c r="I114" s="11"/>
      <c r="K114" s="11"/>
      <c r="L114" s="11"/>
    </row>
    <row r="115" spans="2:12" x14ac:dyDescent="0.2">
      <c r="B115" s="11"/>
      <c r="C115" s="11"/>
      <c r="D115" s="11"/>
      <c r="E115" s="11"/>
      <c r="F115" s="11"/>
      <c r="G115" s="11"/>
      <c r="H115" s="11"/>
      <c r="I115" s="11"/>
      <c r="K115" s="11"/>
      <c r="L115" s="11"/>
    </row>
    <row r="116" spans="2:12" x14ac:dyDescent="0.2">
      <c r="B116" s="11"/>
      <c r="C116" s="11"/>
      <c r="D116" s="11"/>
      <c r="E116" s="11"/>
      <c r="F116" s="11"/>
      <c r="G116" s="11"/>
      <c r="H116" s="11"/>
      <c r="I116" s="11"/>
      <c r="K116" s="11"/>
      <c r="L116" s="11"/>
    </row>
    <row r="117" spans="2:12" x14ac:dyDescent="0.2">
      <c r="B117" s="11"/>
      <c r="C117" s="11"/>
      <c r="D117" s="11"/>
      <c r="E117" s="11"/>
      <c r="F117" s="11"/>
      <c r="G117" s="11"/>
      <c r="H117" s="11"/>
      <c r="I117" s="11"/>
      <c r="K117" s="11"/>
      <c r="L117" s="11"/>
    </row>
    <row r="118" spans="2:12" x14ac:dyDescent="0.2">
      <c r="B118" s="11"/>
      <c r="C118" s="11"/>
      <c r="D118" s="11"/>
      <c r="E118" s="11"/>
      <c r="F118" s="11"/>
      <c r="G118" s="11"/>
      <c r="H118" s="11"/>
      <c r="I118" s="11"/>
      <c r="K118" s="11"/>
      <c r="L118" s="11"/>
    </row>
    <row r="119" spans="2:12" x14ac:dyDescent="0.2">
      <c r="B119" s="11"/>
      <c r="C119" s="11"/>
      <c r="D119" s="11"/>
      <c r="E119" s="11"/>
      <c r="F119" s="11"/>
      <c r="G119" s="11"/>
      <c r="H119" s="11"/>
      <c r="I119" s="11"/>
      <c r="K119" s="11"/>
      <c r="L119" s="11"/>
    </row>
    <row r="120" spans="2:12" x14ac:dyDescent="0.2">
      <c r="B120" s="11"/>
      <c r="C120" s="11"/>
      <c r="D120" s="11"/>
      <c r="E120" s="11"/>
      <c r="F120" s="11"/>
      <c r="G120" s="11"/>
      <c r="H120" s="11"/>
      <c r="I120" s="11"/>
      <c r="K120" s="11"/>
      <c r="L120" s="11"/>
    </row>
    <row r="121" spans="2:12" x14ac:dyDescent="0.2">
      <c r="B121" s="11"/>
      <c r="C121" s="11"/>
      <c r="D121" s="11"/>
      <c r="E121" s="11"/>
      <c r="F121" s="11"/>
      <c r="G121" s="11"/>
      <c r="H121" s="11"/>
      <c r="I121" s="11"/>
      <c r="K121" s="11"/>
      <c r="L121" s="11"/>
    </row>
    <row r="122" spans="2:12" x14ac:dyDescent="0.2">
      <c r="B122" s="11"/>
      <c r="C122" s="11"/>
      <c r="D122" s="11"/>
      <c r="E122" s="11"/>
      <c r="F122" s="11"/>
      <c r="G122" s="11"/>
      <c r="H122" s="11"/>
      <c r="I122" s="11"/>
      <c r="K122" s="11"/>
      <c r="L122" s="11"/>
    </row>
    <row r="123" spans="2:12" x14ac:dyDescent="0.2">
      <c r="B123" s="11"/>
      <c r="C123" s="11"/>
      <c r="D123" s="11"/>
      <c r="E123" s="11"/>
      <c r="F123" s="11"/>
      <c r="G123" s="11"/>
      <c r="H123" s="11"/>
      <c r="I123" s="11"/>
      <c r="K123" s="11"/>
      <c r="L123" s="11"/>
    </row>
    <row r="124" spans="2:12" x14ac:dyDescent="0.2">
      <c r="B124" s="11"/>
      <c r="C124" s="11"/>
      <c r="D124" s="11"/>
      <c r="E124" s="11"/>
      <c r="F124" s="11"/>
      <c r="G124" s="11"/>
      <c r="H124" s="11"/>
      <c r="I124" s="11"/>
      <c r="K124" s="11"/>
      <c r="L124" s="11"/>
    </row>
    <row r="125" spans="2:12" x14ac:dyDescent="0.2">
      <c r="B125" s="11"/>
      <c r="C125" s="11"/>
      <c r="D125" s="11"/>
      <c r="E125" s="11"/>
      <c r="F125" s="11"/>
      <c r="G125" s="11"/>
      <c r="H125" s="11"/>
      <c r="I125" s="11"/>
      <c r="K125" s="11"/>
      <c r="L125" s="11"/>
    </row>
    <row r="126" spans="2:12" x14ac:dyDescent="0.2">
      <c r="B126" s="11"/>
      <c r="C126" s="11"/>
      <c r="D126" s="11"/>
      <c r="E126" s="11"/>
      <c r="F126" s="11"/>
      <c r="G126" s="11"/>
      <c r="H126" s="11"/>
      <c r="I126" s="11"/>
      <c r="K126" s="11"/>
      <c r="L126" s="11"/>
    </row>
    <row r="127" spans="2:12" x14ac:dyDescent="0.2">
      <c r="B127" s="11"/>
      <c r="C127" s="11"/>
      <c r="D127" s="11"/>
      <c r="E127" s="11"/>
      <c r="F127" s="11"/>
      <c r="G127" s="11"/>
      <c r="H127" s="11"/>
      <c r="I127" s="11"/>
      <c r="K127" s="11"/>
      <c r="L127" s="11"/>
    </row>
    <row r="128" spans="2:12" x14ac:dyDescent="0.2">
      <c r="B128" s="11"/>
      <c r="C128" s="11"/>
      <c r="D128" s="11"/>
      <c r="E128" s="11"/>
      <c r="F128" s="11"/>
      <c r="G128" s="11"/>
      <c r="H128" s="11"/>
      <c r="I128" s="11"/>
      <c r="K128" s="11"/>
      <c r="L128" s="11"/>
    </row>
    <row r="129" spans="2:12" x14ac:dyDescent="0.2">
      <c r="B129" s="11"/>
      <c r="C129" s="11"/>
      <c r="D129" s="11"/>
      <c r="E129" s="11"/>
      <c r="F129" s="11"/>
      <c r="G129" s="11"/>
      <c r="H129" s="11"/>
      <c r="I129" s="11"/>
      <c r="K129" s="11"/>
      <c r="L129" s="11"/>
    </row>
    <row r="130" spans="2:12" x14ac:dyDescent="0.2">
      <c r="B130" s="11"/>
      <c r="C130" s="11"/>
      <c r="D130" s="11"/>
      <c r="E130" s="11"/>
      <c r="F130" s="11"/>
      <c r="G130" s="11"/>
      <c r="H130" s="11"/>
      <c r="I130" s="11"/>
      <c r="K130" s="11"/>
      <c r="L130" s="11"/>
    </row>
    <row r="131" spans="2:12" x14ac:dyDescent="0.2">
      <c r="B131" s="11"/>
      <c r="C131" s="11"/>
      <c r="D131" s="11"/>
      <c r="E131" s="11"/>
      <c r="F131" s="11"/>
      <c r="G131" s="11"/>
      <c r="H131" s="11"/>
      <c r="I131" s="11"/>
      <c r="K131" s="11"/>
      <c r="L131" s="11"/>
    </row>
    <row r="132" spans="2:12" x14ac:dyDescent="0.2">
      <c r="B132" s="11"/>
      <c r="C132" s="11"/>
      <c r="D132" s="11"/>
      <c r="E132" s="11"/>
      <c r="F132" s="11"/>
      <c r="G132" s="11"/>
      <c r="H132" s="11"/>
      <c r="I132" s="11"/>
      <c r="K132" s="11"/>
      <c r="L132" s="11"/>
    </row>
    <row r="133" spans="2:12" x14ac:dyDescent="0.2">
      <c r="B133" s="11"/>
      <c r="C133" s="11"/>
      <c r="D133" s="11"/>
      <c r="E133" s="11"/>
      <c r="F133" s="11"/>
      <c r="G133" s="11"/>
      <c r="H133" s="11"/>
      <c r="I133" s="11"/>
      <c r="K133" s="11"/>
      <c r="L133" s="11"/>
    </row>
    <row r="134" spans="2:12" x14ac:dyDescent="0.2">
      <c r="B134" s="11"/>
      <c r="C134" s="11"/>
      <c r="D134" s="11"/>
      <c r="E134" s="11"/>
      <c r="F134" s="11"/>
      <c r="G134" s="11"/>
      <c r="H134" s="11"/>
      <c r="I134" s="11"/>
      <c r="K134" s="11"/>
      <c r="L134" s="11"/>
    </row>
    <row r="135" spans="2:12" x14ac:dyDescent="0.2">
      <c r="B135" s="11"/>
      <c r="C135" s="11"/>
      <c r="D135" s="11"/>
      <c r="E135" s="11"/>
      <c r="F135" s="11"/>
      <c r="G135" s="11"/>
      <c r="H135" s="11"/>
      <c r="I135" s="11"/>
      <c r="K135" s="11"/>
      <c r="L135" s="11"/>
    </row>
    <row r="136" spans="2:12" x14ac:dyDescent="0.2">
      <c r="B136" s="11"/>
      <c r="C136" s="11"/>
      <c r="D136" s="11"/>
      <c r="E136" s="11"/>
      <c r="F136" s="11"/>
      <c r="G136" s="11"/>
      <c r="H136" s="11"/>
      <c r="I136" s="11"/>
      <c r="K136" s="11"/>
      <c r="L136" s="11"/>
    </row>
    <row r="137" spans="2:12" x14ac:dyDescent="0.2">
      <c r="B137" s="11"/>
      <c r="C137" s="11"/>
      <c r="D137" s="11"/>
      <c r="E137" s="11"/>
      <c r="F137" s="11"/>
      <c r="G137" s="11"/>
      <c r="H137" s="11"/>
      <c r="I137" s="11"/>
      <c r="K137" s="11"/>
      <c r="L137" s="11"/>
    </row>
    <row r="138" spans="2:12" x14ac:dyDescent="0.2">
      <c r="B138" s="11"/>
      <c r="C138" s="11"/>
      <c r="D138" s="11"/>
      <c r="E138" s="11"/>
      <c r="F138" s="11"/>
      <c r="G138" s="11"/>
      <c r="H138" s="11"/>
      <c r="I138" s="11"/>
      <c r="K138" s="11"/>
      <c r="L138" s="11"/>
    </row>
    <row r="139" spans="2:12" x14ac:dyDescent="0.2">
      <c r="B139" s="11"/>
      <c r="C139" s="11"/>
      <c r="D139" s="11"/>
      <c r="E139" s="11"/>
      <c r="F139" s="11"/>
      <c r="G139" s="11"/>
      <c r="H139" s="11"/>
      <c r="I139" s="11"/>
      <c r="K139" s="11"/>
      <c r="L139" s="11"/>
    </row>
    <row r="140" spans="2:12" x14ac:dyDescent="0.2">
      <c r="B140" s="11"/>
      <c r="C140" s="11"/>
      <c r="D140" s="11"/>
      <c r="E140" s="11"/>
      <c r="F140" s="11"/>
      <c r="G140" s="11"/>
      <c r="H140" s="11"/>
      <c r="I140" s="11"/>
      <c r="K140" s="11"/>
      <c r="L140" s="11"/>
    </row>
    <row r="141" spans="2:12" x14ac:dyDescent="0.2">
      <c r="B141" s="11"/>
      <c r="C141" s="11"/>
      <c r="D141" s="11"/>
      <c r="E141" s="11"/>
      <c r="F141" s="11"/>
      <c r="G141" s="11"/>
      <c r="H141" s="11"/>
      <c r="I141" s="11"/>
      <c r="K141" s="11"/>
      <c r="L141" s="11"/>
    </row>
    <row r="142" spans="2:12" x14ac:dyDescent="0.2">
      <c r="B142" s="11"/>
      <c r="C142" s="11"/>
      <c r="D142" s="11"/>
      <c r="E142" s="11"/>
      <c r="F142" s="11"/>
      <c r="G142" s="11"/>
      <c r="H142" s="11"/>
      <c r="I142" s="11"/>
      <c r="K142" s="11"/>
      <c r="L142" s="11"/>
    </row>
    <row r="143" spans="2:12" x14ac:dyDescent="0.2">
      <c r="B143" s="11"/>
      <c r="C143" s="11"/>
      <c r="D143" s="11"/>
      <c r="E143" s="11"/>
      <c r="F143" s="11"/>
      <c r="G143" s="11"/>
      <c r="H143" s="11"/>
      <c r="I143" s="11"/>
      <c r="K143" s="11"/>
      <c r="L143" s="11"/>
    </row>
    <row r="144" spans="2:12" x14ac:dyDescent="0.2">
      <c r="B144" s="11"/>
      <c r="C144" s="11"/>
      <c r="D144" s="11"/>
      <c r="E144" s="11"/>
      <c r="F144" s="11"/>
      <c r="G144" s="11"/>
      <c r="H144" s="11"/>
      <c r="I144" s="11"/>
      <c r="K144" s="11"/>
      <c r="L144" s="11"/>
    </row>
    <row r="145" spans="2:12" x14ac:dyDescent="0.2">
      <c r="B145" s="11"/>
      <c r="C145" s="11"/>
      <c r="D145" s="11"/>
      <c r="E145" s="11"/>
      <c r="F145" s="11"/>
      <c r="G145" s="11"/>
      <c r="H145" s="11"/>
      <c r="I145" s="11"/>
      <c r="K145" s="11"/>
      <c r="L145" s="11"/>
    </row>
    <row r="146" spans="2:12" x14ac:dyDescent="0.2">
      <c r="B146" s="11"/>
      <c r="C146" s="11"/>
      <c r="D146" s="11"/>
      <c r="E146" s="11"/>
      <c r="F146" s="11"/>
      <c r="G146" s="11"/>
      <c r="H146" s="11"/>
      <c r="I146" s="11"/>
      <c r="K146" s="11"/>
      <c r="L146" s="11"/>
    </row>
    <row r="147" spans="2:12" x14ac:dyDescent="0.2">
      <c r="B147" s="11"/>
      <c r="C147" s="11"/>
      <c r="D147" s="11"/>
      <c r="E147" s="11"/>
      <c r="F147" s="11"/>
      <c r="G147" s="11"/>
      <c r="H147" s="11"/>
      <c r="I147" s="11"/>
      <c r="K147" s="11"/>
      <c r="L147" s="11"/>
    </row>
    <row r="148" spans="2:12" x14ac:dyDescent="0.2">
      <c r="B148" s="11"/>
      <c r="C148" s="11"/>
      <c r="D148" s="11"/>
      <c r="E148" s="11"/>
      <c r="F148" s="11"/>
      <c r="G148" s="11"/>
      <c r="H148" s="11"/>
      <c r="I148" s="11"/>
      <c r="K148" s="11"/>
      <c r="L148" s="11"/>
    </row>
    <row r="149" spans="2:12" x14ac:dyDescent="0.2">
      <c r="B149" s="11"/>
      <c r="C149" s="11"/>
      <c r="D149" s="11"/>
      <c r="E149" s="11"/>
      <c r="F149" s="11"/>
      <c r="G149" s="11"/>
      <c r="H149" s="11"/>
      <c r="I149" s="11"/>
      <c r="K149" s="11"/>
      <c r="L149" s="11"/>
    </row>
    <row r="150" spans="2:12" x14ac:dyDescent="0.2">
      <c r="B150" s="11"/>
      <c r="C150" s="11"/>
      <c r="D150" s="11"/>
      <c r="E150" s="11"/>
      <c r="F150" s="11"/>
      <c r="G150" s="11"/>
      <c r="H150" s="11"/>
      <c r="I150" s="11"/>
      <c r="K150" s="11"/>
      <c r="L150" s="11"/>
    </row>
    <row r="151" spans="2:12" x14ac:dyDescent="0.2">
      <c r="B151" s="11"/>
      <c r="C151" s="11"/>
      <c r="D151" s="11"/>
      <c r="E151" s="11"/>
      <c r="F151" s="11"/>
      <c r="G151" s="11"/>
      <c r="H151" s="11"/>
      <c r="I151" s="11"/>
      <c r="K151" s="11"/>
      <c r="L151" s="11"/>
    </row>
    <row r="152" spans="2:12" x14ac:dyDescent="0.2">
      <c r="B152" s="11"/>
      <c r="C152" s="11"/>
      <c r="D152" s="11"/>
      <c r="E152" s="11"/>
      <c r="F152" s="11"/>
      <c r="G152" s="11"/>
      <c r="H152" s="11"/>
      <c r="I152" s="11"/>
      <c r="K152" s="11"/>
      <c r="L152" s="11"/>
    </row>
    <row r="153" spans="2:12" x14ac:dyDescent="0.2">
      <c r="B153" s="11"/>
      <c r="C153" s="11"/>
      <c r="D153" s="11"/>
      <c r="E153" s="11"/>
      <c r="F153" s="11"/>
      <c r="G153" s="11"/>
      <c r="H153" s="11"/>
      <c r="I153" s="11"/>
      <c r="K153" s="11"/>
      <c r="L153" s="11"/>
    </row>
    <row r="154" spans="2:12" x14ac:dyDescent="0.2">
      <c r="B154" s="11"/>
      <c r="C154" s="11"/>
      <c r="D154" s="11"/>
      <c r="E154" s="11"/>
      <c r="F154" s="11"/>
      <c r="G154" s="11"/>
      <c r="H154" s="11"/>
      <c r="I154" s="11"/>
      <c r="K154" s="11"/>
      <c r="L154" s="11"/>
    </row>
    <row r="155" spans="2:12" x14ac:dyDescent="0.2">
      <c r="B155" s="11"/>
      <c r="C155" s="11"/>
      <c r="D155" s="11"/>
      <c r="E155" s="11"/>
      <c r="F155" s="11"/>
      <c r="G155" s="11"/>
      <c r="H155" s="11"/>
      <c r="I155" s="11"/>
      <c r="K155" s="11"/>
      <c r="L155" s="11"/>
    </row>
    <row r="156" spans="2:12" x14ac:dyDescent="0.2">
      <c r="B156" s="11"/>
      <c r="C156" s="11"/>
      <c r="D156" s="11"/>
      <c r="E156" s="11"/>
      <c r="F156" s="11"/>
      <c r="G156" s="11"/>
      <c r="H156" s="11"/>
      <c r="I156" s="11"/>
      <c r="K156" s="11"/>
      <c r="L156" s="11"/>
    </row>
    <row r="157" spans="2:12" x14ac:dyDescent="0.2">
      <c r="B157" s="11"/>
      <c r="C157" s="11"/>
      <c r="D157" s="11"/>
      <c r="E157" s="11"/>
      <c r="F157" s="11"/>
      <c r="G157" s="11"/>
      <c r="H157" s="11"/>
      <c r="I157" s="11"/>
      <c r="K157" s="11"/>
      <c r="L157" s="11"/>
    </row>
    <row r="158" spans="2:12" x14ac:dyDescent="0.2">
      <c r="B158" s="11"/>
      <c r="C158" s="11"/>
      <c r="D158" s="11"/>
      <c r="E158" s="11"/>
      <c r="F158" s="11"/>
      <c r="G158" s="11"/>
      <c r="H158" s="11"/>
      <c r="I158" s="11"/>
      <c r="K158" s="11"/>
      <c r="L158" s="11"/>
    </row>
    <row r="159" spans="2:12" x14ac:dyDescent="0.2">
      <c r="B159" s="11"/>
      <c r="C159" s="11"/>
      <c r="D159" s="11"/>
      <c r="E159" s="11"/>
      <c r="F159" s="11"/>
      <c r="G159" s="11"/>
      <c r="H159" s="11"/>
      <c r="I159" s="11"/>
      <c r="K159" s="11"/>
      <c r="L159" s="11"/>
    </row>
    <row r="160" spans="2:12" x14ac:dyDescent="0.2">
      <c r="B160" s="11"/>
      <c r="C160" s="11"/>
      <c r="D160" s="11"/>
      <c r="E160" s="11"/>
      <c r="F160" s="11"/>
      <c r="G160" s="11"/>
      <c r="H160" s="11"/>
      <c r="I160" s="11"/>
      <c r="K160" s="11"/>
      <c r="L160" s="11"/>
    </row>
    <row r="161" spans="2:12" x14ac:dyDescent="0.2">
      <c r="B161" s="11"/>
      <c r="C161" s="11"/>
      <c r="D161" s="11"/>
      <c r="E161" s="11"/>
      <c r="F161" s="11"/>
      <c r="G161" s="11"/>
      <c r="H161" s="11"/>
      <c r="I161" s="11"/>
      <c r="K161" s="11"/>
      <c r="L161" s="11"/>
    </row>
    <row r="162" spans="2:12" x14ac:dyDescent="0.2">
      <c r="B162" s="11"/>
      <c r="C162" s="11"/>
      <c r="D162" s="11"/>
      <c r="E162" s="11"/>
      <c r="F162" s="11"/>
      <c r="G162" s="11"/>
      <c r="H162" s="11"/>
      <c r="I162" s="11"/>
      <c r="K162" s="11"/>
      <c r="L162" s="11"/>
    </row>
    <row r="163" spans="2:12" x14ac:dyDescent="0.2">
      <c r="B163" s="11"/>
      <c r="C163" s="11"/>
      <c r="D163" s="11"/>
      <c r="E163" s="11"/>
      <c r="F163" s="11"/>
      <c r="G163" s="11"/>
      <c r="H163" s="11"/>
      <c r="I163" s="11"/>
      <c r="K163" s="11"/>
      <c r="L163" s="11"/>
    </row>
    <row r="164" spans="2:12" x14ac:dyDescent="0.2">
      <c r="B164" s="11"/>
      <c r="C164" s="11"/>
      <c r="D164" s="11"/>
      <c r="E164" s="11"/>
      <c r="F164" s="11"/>
      <c r="G164" s="11"/>
      <c r="H164" s="11"/>
      <c r="I164" s="11"/>
      <c r="K164" s="11"/>
      <c r="L164" s="11"/>
    </row>
    <row r="165" spans="2:12" x14ac:dyDescent="0.2">
      <c r="B165" s="11"/>
      <c r="C165" s="11"/>
      <c r="D165" s="11"/>
      <c r="E165" s="11"/>
      <c r="F165" s="11"/>
      <c r="G165" s="11"/>
      <c r="H165" s="11"/>
      <c r="I165" s="11"/>
      <c r="K165" s="11"/>
      <c r="L165" s="11"/>
    </row>
    <row r="166" spans="2:12" x14ac:dyDescent="0.2">
      <c r="B166" s="11"/>
      <c r="C166" s="11"/>
      <c r="D166" s="11"/>
      <c r="E166" s="11"/>
      <c r="F166" s="11"/>
      <c r="G166" s="11"/>
      <c r="H166" s="11"/>
      <c r="I166" s="11"/>
      <c r="K166" s="11"/>
      <c r="L166" s="11"/>
    </row>
    <row r="167" spans="2:12" x14ac:dyDescent="0.2">
      <c r="B167" s="11"/>
      <c r="C167" s="11"/>
      <c r="D167" s="11"/>
      <c r="E167" s="11"/>
      <c r="F167" s="11"/>
      <c r="G167" s="11"/>
      <c r="H167" s="11"/>
      <c r="I167" s="11"/>
      <c r="K167" s="11"/>
      <c r="L167" s="11"/>
    </row>
    <row r="168" spans="2:12" x14ac:dyDescent="0.2">
      <c r="B168" s="11"/>
      <c r="C168" s="11"/>
      <c r="D168" s="11"/>
      <c r="E168" s="11"/>
      <c r="F168" s="11"/>
      <c r="G168" s="11"/>
      <c r="H168" s="11"/>
      <c r="I168" s="11"/>
      <c r="K168" s="11"/>
      <c r="L168" s="11"/>
    </row>
    <row r="169" spans="2:12" x14ac:dyDescent="0.2">
      <c r="B169" s="11"/>
      <c r="C169" s="11"/>
      <c r="D169" s="11"/>
      <c r="E169" s="11"/>
      <c r="F169" s="11"/>
      <c r="G169" s="11"/>
      <c r="H169" s="11"/>
      <c r="I169" s="11"/>
      <c r="K169" s="11"/>
      <c r="L169" s="11"/>
    </row>
    <row r="170" spans="2:12" x14ac:dyDescent="0.2">
      <c r="B170" s="11"/>
      <c r="C170" s="11"/>
      <c r="D170" s="11"/>
      <c r="E170" s="11"/>
      <c r="F170" s="11"/>
      <c r="G170" s="11"/>
      <c r="H170" s="11"/>
      <c r="I170" s="11"/>
      <c r="K170" s="11"/>
      <c r="L170" s="11"/>
    </row>
    <row r="171" spans="2:12" x14ac:dyDescent="0.2">
      <c r="B171" s="11"/>
      <c r="C171" s="11"/>
      <c r="D171" s="11"/>
      <c r="E171" s="11"/>
      <c r="F171" s="11"/>
      <c r="G171" s="11"/>
      <c r="H171" s="11"/>
      <c r="I171" s="11"/>
      <c r="K171" s="11"/>
      <c r="L171" s="11"/>
    </row>
    <row r="172" spans="2:12" x14ac:dyDescent="0.2">
      <c r="B172" s="11"/>
      <c r="C172" s="11"/>
      <c r="D172" s="11"/>
      <c r="E172" s="11"/>
      <c r="F172" s="11"/>
      <c r="G172" s="11"/>
      <c r="H172" s="11"/>
      <c r="I172" s="11"/>
      <c r="K172" s="11"/>
      <c r="L172" s="11"/>
    </row>
    <row r="173" spans="2:12" x14ac:dyDescent="0.2">
      <c r="B173" s="11"/>
      <c r="C173" s="11"/>
      <c r="D173" s="11"/>
      <c r="E173" s="11"/>
      <c r="F173" s="11"/>
      <c r="G173" s="11"/>
      <c r="H173" s="11"/>
      <c r="I173" s="11"/>
      <c r="K173" s="11"/>
      <c r="L173" s="11"/>
    </row>
    <row r="174" spans="2:12" x14ac:dyDescent="0.2">
      <c r="B174" s="11"/>
      <c r="C174" s="11"/>
      <c r="D174" s="11"/>
      <c r="E174" s="11"/>
      <c r="F174" s="11"/>
      <c r="G174" s="11"/>
      <c r="H174" s="11"/>
      <c r="I174" s="11"/>
      <c r="K174" s="11"/>
      <c r="L174" s="11"/>
    </row>
    <row r="175" spans="2:12" x14ac:dyDescent="0.2">
      <c r="B175" s="11"/>
      <c r="C175" s="11"/>
      <c r="D175" s="11"/>
      <c r="E175" s="11"/>
      <c r="F175" s="11"/>
      <c r="G175" s="11"/>
      <c r="H175" s="11"/>
      <c r="I175" s="11"/>
      <c r="K175" s="11"/>
      <c r="L175" s="11"/>
    </row>
    <row r="176" spans="2:12" x14ac:dyDescent="0.2">
      <c r="B176" s="11"/>
      <c r="C176" s="11"/>
      <c r="D176" s="11"/>
      <c r="E176" s="11"/>
      <c r="F176" s="11"/>
      <c r="G176" s="11"/>
      <c r="H176" s="11"/>
      <c r="I176" s="11"/>
      <c r="K176" s="11"/>
      <c r="L176" s="11"/>
    </row>
    <row r="177" spans="2:12" x14ac:dyDescent="0.2">
      <c r="B177" s="11"/>
      <c r="C177" s="11"/>
      <c r="D177" s="11"/>
      <c r="E177" s="11"/>
      <c r="F177" s="11"/>
      <c r="G177" s="11"/>
      <c r="H177" s="11"/>
      <c r="I177" s="11"/>
      <c r="K177" s="11"/>
      <c r="L177" s="11"/>
    </row>
    <row r="178" spans="2:12" x14ac:dyDescent="0.2">
      <c r="B178" s="11"/>
      <c r="C178" s="11"/>
      <c r="D178" s="11"/>
      <c r="E178" s="11"/>
      <c r="F178" s="11"/>
      <c r="G178" s="11"/>
      <c r="H178" s="11"/>
      <c r="I178" s="11"/>
      <c r="K178" s="11"/>
      <c r="L178" s="11"/>
    </row>
    <row r="179" spans="2:12" x14ac:dyDescent="0.2">
      <c r="B179" s="11"/>
      <c r="C179" s="11"/>
      <c r="D179" s="11"/>
      <c r="E179" s="11"/>
      <c r="F179" s="11"/>
      <c r="G179" s="11"/>
      <c r="H179" s="11"/>
      <c r="I179" s="11"/>
      <c r="K179" s="11"/>
      <c r="L179" s="11"/>
    </row>
    <row r="180" spans="2:12" x14ac:dyDescent="0.2">
      <c r="B180" s="11"/>
      <c r="C180" s="11"/>
      <c r="D180" s="11"/>
      <c r="E180" s="11"/>
      <c r="F180" s="11"/>
      <c r="G180" s="11"/>
      <c r="H180" s="11"/>
      <c r="I180" s="11"/>
      <c r="K180" s="11"/>
      <c r="L180" s="11"/>
    </row>
    <row r="181" spans="2:12" x14ac:dyDescent="0.2">
      <c r="B181" s="11"/>
      <c r="C181" s="11"/>
      <c r="D181" s="11"/>
      <c r="E181" s="11"/>
      <c r="F181" s="11"/>
      <c r="G181" s="11"/>
      <c r="H181" s="11"/>
      <c r="I181" s="11"/>
      <c r="K181" s="11"/>
      <c r="L181" s="11"/>
    </row>
    <row r="182" spans="2:12" x14ac:dyDescent="0.2">
      <c r="B182" s="11"/>
      <c r="C182" s="11"/>
      <c r="D182" s="11"/>
      <c r="E182" s="11"/>
      <c r="F182" s="11"/>
      <c r="G182" s="11"/>
      <c r="H182" s="11"/>
      <c r="I182" s="11"/>
      <c r="K182" s="11"/>
      <c r="L182" s="11"/>
    </row>
    <row r="183" spans="2:12" x14ac:dyDescent="0.2">
      <c r="B183" s="11"/>
      <c r="C183" s="11"/>
      <c r="D183" s="11"/>
      <c r="E183" s="11"/>
      <c r="F183" s="11"/>
      <c r="G183" s="11"/>
      <c r="H183" s="11"/>
      <c r="I183" s="11"/>
      <c r="K183" s="11"/>
      <c r="L183" s="11"/>
    </row>
    <row r="184" spans="2:12" x14ac:dyDescent="0.2">
      <c r="B184" s="11"/>
      <c r="C184" s="11"/>
      <c r="D184" s="11"/>
      <c r="E184" s="11"/>
      <c r="F184" s="11"/>
      <c r="G184" s="11"/>
      <c r="H184" s="11"/>
      <c r="I184" s="11"/>
      <c r="K184" s="11"/>
      <c r="L184" s="11"/>
    </row>
    <row r="185" spans="2:12" x14ac:dyDescent="0.2">
      <c r="B185" s="11"/>
      <c r="C185" s="11"/>
      <c r="D185" s="11"/>
      <c r="E185" s="11"/>
      <c r="F185" s="11"/>
      <c r="G185" s="11"/>
      <c r="H185" s="11"/>
      <c r="I185" s="11"/>
      <c r="K185" s="11"/>
      <c r="L185" s="11"/>
    </row>
    <row r="186" spans="2:12" x14ac:dyDescent="0.2">
      <c r="B186" s="11"/>
      <c r="C186" s="11"/>
      <c r="D186" s="11"/>
      <c r="E186" s="11"/>
      <c r="F186" s="11"/>
      <c r="G186" s="11"/>
      <c r="H186" s="11"/>
      <c r="I186" s="11"/>
      <c r="K186" s="11"/>
      <c r="L186" s="11"/>
    </row>
    <row r="187" spans="2:12" x14ac:dyDescent="0.2">
      <c r="B187" s="11"/>
      <c r="C187" s="11"/>
      <c r="D187" s="11"/>
      <c r="E187" s="11"/>
      <c r="F187" s="11"/>
      <c r="G187" s="11"/>
      <c r="H187" s="11"/>
      <c r="I187" s="11"/>
      <c r="K187" s="11"/>
      <c r="L187" s="11"/>
    </row>
    <row r="188" spans="2:12" x14ac:dyDescent="0.2">
      <c r="B188" s="11"/>
      <c r="C188" s="11"/>
      <c r="D188" s="11"/>
      <c r="E188" s="11"/>
      <c r="F188" s="11"/>
      <c r="G188" s="11"/>
      <c r="H188" s="11"/>
      <c r="I188" s="11"/>
      <c r="K188" s="11"/>
      <c r="L188" s="11"/>
    </row>
    <row r="189" spans="2:12" x14ac:dyDescent="0.2">
      <c r="B189" s="11"/>
      <c r="C189" s="11"/>
      <c r="D189" s="11"/>
      <c r="E189" s="11"/>
      <c r="F189" s="11"/>
      <c r="G189" s="11"/>
      <c r="H189" s="11"/>
      <c r="I189" s="11"/>
      <c r="K189" s="11"/>
      <c r="L189" s="11"/>
    </row>
    <row r="190" spans="2:12" x14ac:dyDescent="0.2">
      <c r="B190" s="11"/>
      <c r="C190" s="11"/>
      <c r="D190" s="11"/>
      <c r="E190" s="11"/>
      <c r="F190" s="11"/>
      <c r="G190" s="11"/>
      <c r="H190" s="11"/>
      <c r="I190" s="11"/>
      <c r="K190" s="11"/>
      <c r="L190" s="11"/>
    </row>
    <row r="191" spans="2:12" x14ac:dyDescent="0.2">
      <c r="B191" s="11"/>
      <c r="C191" s="11"/>
      <c r="D191" s="11"/>
      <c r="E191" s="11"/>
      <c r="F191" s="11"/>
      <c r="G191" s="11"/>
      <c r="H191" s="11"/>
      <c r="I191" s="11"/>
      <c r="K191" s="11"/>
      <c r="L191" s="11"/>
    </row>
    <row r="192" spans="2:12" x14ac:dyDescent="0.2">
      <c r="B192" s="11"/>
      <c r="C192" s="11"/>
      <c r="D192" s="11"/>
      <c r="E192" s="11"/>
      <c r="F192" s="11"/>
      <c r="G192" s="11"/>
      <c r="H192" s="11"/>
      <c r="I192" s="11"/>
      <c r="K192" s="11"/>
      <c r="L192" s="11"/>
    </row>
    <row r="193" spans="2:12" x14ac:dyDescent="0.2">
      <c r="B193" s="11"/>
      <c r="C193" s="11"/>
      <c r="D193" s="11"/>
      <c r="E193" s="11"/>
      <c r="F193" s="11"/>
      <c r="G193" s="11"/>
      <c r="H193" s="11"/>
      <c r="I193" s="11"/>
      <c r="K193" s="11"/>
      <c r="L193" s="11"/>
    </row>
    <row r="194" spans="2:12" x14ac:dyDescent="0.2">
      <c r="B194" s="11"/>
      <c r="C194" s="11"/>
      <c r="D194" s="11"/>
      <c r="E194" s="11"/>
      <c r="F194" s="11"/>
      <c r="G194" s="11"/>
      <c r="H194" s="11"/>
      <c r="I194" s="11"/>
      <c r="K194" s="11"/>
      <c r="L194" s="11"/>
    </row>
    <row r="195" spans="2:12" x14ac:dyDescent="0.2">
      <c r="B195" s="11"/>
      <c r="C195" s="11"/>
      <c r="D195" s="11"/>
      <c r="E195" s="11"/>
      <c r="F195" s="11"/>
      <c r="G195" s="11"/>
      <c r="H195" s="11"/>
      <c r="I195" s="11"/>
      <c r="K195" s="11"/>
      <c r="L195" s="11"/>
    </row>
    <row r="196" spans="2:12" x14ac:dyDescent="0.2">
      <c r="B196" s="11"/>
      <c r="C196" s="11"/>
      <c r="D196" s="11"/>
      <c r="E196" s="11"/>
      <c r="F196" s="11"/>
      <c r="G196" s="11"/>
      <c r="H196" s="11"/>
      <c r="I196" s="11"/>
      <c r="K196" s="11"/>
      <c r="L196" s="11"/>
    </row>
    <row r="197" spans="2:12" x14ac:dyDescent="0.2">
      <c r="B197" s="11"/>
      <c r="C197" s="11"/>
      <c r="D197" s="11"/>
      <c r="E197" s="11"/>
      <c r="F197" s="11"/>
      <c r="G197" s="11"/>
      <c r="H197" s="11"/>
      <c r="I197" s="11"/>
      <c r="K197" s="11"/>
      <c r="L197" s="11"/>
    </row>
    <row r="198" spans="2:12" x14ac:dyDescent="0.2">
      <c r="B198" s="11"/>
      <c r="C198" s="11"/>
      <c r="D198" s="11"/>
      <c r="E198" s="11"/>
      <c r="F198" s="11"/>
      <c r="G198" s="11"/>
      <c r="H198" s="11"/>
      <c r="I198" s="11"/>
      <c r="K198" s="11"/>
      <c r="L198" s="11"/>
    </row>
    <row r="199" spans="2:12" x14ac:dyDescent="0.2">
      <c r="B199" s="11"/>
      <c r="C199" s="11"/>
      <c r="D199" s="11"/>
      <c r="E199" s="11"/>
      <c r="F199" s="11"/>
      <c r="G199" s="11"/>
      <c r="H199" s="11"/>
      <c r="I199" s="11"/>
      <c r="K199" s="11"/>
      <c r="L199" s="11"/>
    </row>
    <row r="200" spans="2:12" x14ac:dyDescent="0.2">
      <c r="B200" s="10"/>
      <c r="C200" s="10"/>
      <c r="D200" s="10"/>
      <c r="E200" s="10"/>
      <c r="F200" s="10"/>
      <c r="G200" s="10"/>
      <c r="H200" s="10"/>
      <c r="I200" s="10"/>
      <c r="K200" s="10"/>
      <c r="L200" s="10"/>
    </row>
    <row r="201" spans="2:12" x14ac:dyDescent="0.2">
      <c r="B201" s="10"/>
      <c r="C201" s="10"/>
      <c r="D201" s="10"/>
      <c r="E201" s="10"/>
      <c r="F201" s="10"/>
      <c r="G201" s="10"/>
      <c r="H201" s="10"/>
      <c r="I201" s="10"/>
      <c r="K201" s="10"/>
      <c r="L201" s="10"/>
    </row>
    <row r="202" spans="2:12" x14ac:dyDescent="0.2">
      <c r="B202" s="10"/>
      <c r="C202" s="10"/>
      <c r="D202" s="10"/>
      <c r="E202" s="10"/>
      <c r="F202" s="10"/>
      <c r="G202" s="10"/>
      <c r="H202" s="10"/>
      <c r="I202" s="10"/>
      <c r="K202" s="10"/>
      <c r="L202" s="10"/>
    </row>
    <row r="203" spans="2:12" x14ac:dyDescent="0.2">
      <c r="B203" s="10"/>
      <c r="C203" s="10"/>
      <c r="D203" s="10"/>
      <c r="E203" s="10"/>
      <c r="F203" s="10"/>
      <c r="G203" s="10"/>
      <c r="H203" s="10"/>
      <c r="I203" s="10"/>
      <c r="K203" s="10"/>
      <c r="L203" s="10"/>
    </row>
    <row r="204" spans="2:12" x14ac:dyDescent="0.2">
      <c r="B204" s="10"/>
      <c r="C204" s="10"/>
      <c r="D204" s="10"/>
      <c r="E204" s="10"/>
      <c r="F204" s="10"/>
      <c r="G204" s="10"/>
      <c r="H204" s="10"/>
      <c r="I204" s="10"/>
      <c r="K204" s="10"/>
      <c r="L204" s="10"/>
    </row>
    <row r="205" spans="2:12" x14ac:dyDescent="0.2">
      <c r="B205" s="10"/>
      <c r="C205" s="10"/>
      <c r="D205" s="10"/>
      <c r="E205" s="10"/>
      <c r="F205" s="10"/>
      <c r="G205" s="10"/>
      <c r="H205" s="10"/>
      <c r="I205" s="10"/>
      <c r="K205" s="10"/>
      <c r="L205" s="10"/>
    </row>
    <row r="206" spans="2:12" x14ac:dyDescent="0.2">
      <c r="B206" s="10"/>
      <c r="C206" s="10"/>
      <c r="D206" s="10"/>
      <c r="E206" s="10"/>
      <c r="F206" s="10"/>
      <c r="G206" s="10"/>
      <c r="H206" s="10"/>
      <c r="I206" s="10"/>
      <c r="K206" s="10"/>
      <c r="L206" s="10"/>
    </row>
    <row r="207" spans="2:12" x14ac:dyDescent="0.2">
      <c r="B207" s="10"/>
      <c r="C207" s="10"/>
      <c r="D207" s="10"/>
      <c r="E207" s="10"/>
      <c r="F207" s="10"/>
      <c r="G207" s="10"/>
      <c r="H207" s="10"/>
      <c r="I207" s="10"/>
      <c r="K207" s="10"/>
      <c r="L207" s="10"/>
    </row>
  </sheetData>
  <autoFilter ref="A3:N76" xr:uid="{B41AB8C5-CA0F-44C6-8C96-E4E9104F9407}">
    <sortState xmlns:xlrd2="http://schemas.microsoft.com/office/spreadsheetml/2017/richdata2" ref="A4:N76">
      <sortCondition ref="A3:A76"/>
    </sortState>
  </autoFilter>
  <pageMargins left="0.7" right="0.7" top="0.75" bottom="0.75" header="0.3" footer="0.3"/>
  <pageSetup orientation="portrait" horizontalDpi="1200" verticalDpi="1200" r:id="rId1"/>
  <headerFooter>
    <oddHeader>&amp;L&amp;"Calibri"&amp;11&amp;K000000INTERNAL FR/OFFICIAL USE // FRSONLY&amp;1#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0E51-9BE6-40D6-908F-0E464BE49484}">
  <dimension ref="A1:G3"/>
  <sheetViews>
    <sheetView workbookViewId="0">
      <selection activeCell="D12" sqref="D12"/>
    </sheetView>
  </sheetViews>
  <sheetFormatPr defaultRowHeight="15" x14ac:dyDescent="0.2"/>
  <cols>
    <col min="1" max="1" width="9.88671875" bestFit="1" customWidth="1"/>
    <col min="2" max="2" width="24.6640625" customWidth="1"/>
    <col min="3" max="3" width="11" style="15" customWidth="1"/>
    <col min="4" max="4" width="14.5546875" bestFit="1" customWidth="1"/>
    <col min="5" max="5" width="13.5546875" bestFit="1" customWidth="1"/>
    <col min="6" max="6" width="15.5546875" bestFit="1" customWidth="1"/>
    <col min="7" max="7" width="20.5546875" customWidth="1"/>
  </cols>
  <sheetData>
    <row r="1" spans="1:7" x14ac:dyDescent="0.2">
      <c r="A1" t="s">
        <v>76</v>
      </c>
    </row>
    <row r="2" spans="1:7" ht="31.5" x14ac:dyDescent="0.25">
      <c r="A2" s="6" t="s">
        <v>15</v>
      </c>
      <c r="B2" s="7" t="s">
        <v>0</v>
      </c>
      <c r="C2" s="21" t="s">
        <v>75</v>
      </c>
      <c r="D2" s="7" t="s">
        <v>35</v>
      </c>
      <c r="E2" s="7" t="s">
        <v>36</v>
      </c>
      <c r="F2" s="7" t="s">
        <v>2</v>
      </c>
      <c r="G2" s="18" t="s">
        <v>12</v>
      </c>
    </row>
    <row r="3" spans="1:7" x14ac:dyDescent="0.2">
      <c r="A3" s="1">
        <v>46022</v>
      </c>
      <c r="B3" s="20">
        <v>46577807.659999996</v>
      </c>
      <c r="C3" s="20">
        <v>-990581.92</v>
      </c>
      <c r="D3" s="8">
        <v>0</v>
      </c>
      <c r="E3" s="8">
        <v>0</v>
      </c>
      <c r="F3" s="9">
        <v>0</v>
      </c>
      <c r="G3" s="15">
        <f>SUM(B3:F3)</f>
        <v>45587225.739999995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158D-4DC7-E04C-B5AC-34DF9AA9D30B}">
  <dimension ref="A1:T27"/>
  <sheetViews>
    <sheetView zoomScale="70" zoomScaleNormal="70" workbookViewId="0">
      <selection activeCell="J8" sqref="J8"/>
    </sheetView>
  </sheetViews>
  <sheetFormatPr defaultColWidth="11" defaultRowHeight="15" x14ac:dyDescent="0.2"/>
  <cols>
    <col min="2" max="17" width="15.6640625" customWidth="1"/>
    <col min="18" max="18" width="18.44140625" customWidth="1"/>
    <col min="20" max="20" width="13.33203125" bestFit="1" customWidth="1"/>
  </cols>
  <sheetData>
    <row r="1" spans="1:20" x14ac:dyDescent="0.2">
      <c r="A1" t="s">
        <v>28</v>
      </c>
    </row>
    <row r="3" spans="1:20" s="6" customFormat="1" ht="63" x14ac:dyDescent="0.25">
      <c r="A3" s="6" t="s">
        <v>15</v>
      </c>
      <c r="B3" s="7" t="s">
        <v>0</v>
      </c>
      <c r="C3" s="7" t="s">
        <v>37</v>
      </c>
      <c r="D3" s="7" t="s">
        <v>35</v>
      </c>
      <c r="E3" s="7" t="s">
        <v>36</v>
      </c>
      <c r="F3" s="7" t="s">
        <v>1</v>
      </c>
      <c r="G3" s="7" t="s">
        <v>2</v>
      </c>
      <c r="H3" s="7" t="s">
        <v>3</v>
      </c>
      <c r="I3" s="7" t="s">
        <v>4</v>
      </c>
      <c r="J3" s="7" t="s">
        <v>81</v>
      </c>
      <c r="K3" s="7" t="s">
        <v>5</v>
      </c>
      <c r="L3" s="7" t="s">
        <v>6</v>
      </c>
      <c r="M3" s="7" t="s">
        <v>7</v>
      </c>
      <c r="N3" s="7" t="s">
        <v>8</v>
      </c>
      <c r="O3" s="7" t="s">
        <v>9</v>
      </c>
      <c r="P3" s="7" t="s">
        <v>10</v>
      </c>
      <c r="Q3" s="7" t="s">
        <v>11</v>
      </c>
      <c r="R3" s="5" t="s">
        <v>12</v>
      </c>
      <c r="S3" s="6" t="s">
        <v>13</v>
      </c>
    </row>
    <row r="4" spans="1:20" x14ac:dyDescent="0.2">
      <c r="A4" s="1">
        <v>44286</v>
      </c>
      <c r="B4" s="8">
        <f>(0.7585*(0.242+0.0387))*R4</f>
        <v>8733088881.5777016</v>
      </c>
      <c r="C4" s="8">
        <f>(0.7585*(0.036))*R4</f>
        <v>1120025649.2226479</v>
      </c>
      <c r="D4" s="8">
        <f>(0.7585*(0.036))*Q4</f>
        <v>0</v>
      </c>
      <c r="E4" s="8"/>
      <c r="F4" s="8">
        <v>0</v>
      </c>
      <c r="G4" s="8">
        <f>(0.7585*(0.0294))*R4</f>
        <v>914687613.53182912</v>
      </c>
      <c r="H4" s="8">
        <v>0</v>
      </c>
      <c r="I4" s="8">
        <f>0.1255*R4</f>
        <v>5147704496.3540001</v>
      </c>
      <c r="J4" s="8">
        <f>0.0996*R4</f>
        <v>4085349544.5167999</v>
      </c>
      <c r="K4" s="8">
        <f>0.0164*R4</f>
        <v>672688077.61120009</v>
      </c>
      <c r="L4" s="8">
        <f>(0.7585*(0.6539))*R4</f>
        <v>20344021445.185818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9">
        <v>41017565708</v>
      </c>
      <c r="S4" t="s">
        <v>14</v>
      </c>
    </row>
    <row r="5" spans="1:20" x14ac:dyDescent="0.2">
      <c r="A5" s="1">
        <v>44377</v>
      </c>
      <c r="B5" s="9">
        <v>6282756692</v>
      </c>
      <c r="C5" s="9">
        <v>1000662458</v>
      </c>
      <c r="D5" s="8"/>
      <c r="E5" s="8"/>
      <c r="F5" s="9">
        <v>0</v>
      </c>
      <c r="G5" s="9">
        <v>15279528705</v>
      </c>
      <c r="H5" s="9">
        <v>0</v>
      </c>
      <c r="I5" s="9">
        <v>2517140390</v>
      </c>
      <c r="J5" s="9">
        <v>4830821277</v>
      </c>
      <c r="K5" s="9">
        <v>2054626204</v>
      </c>
      <c r="L5" s="9">
        <v>30807654349</v>
      </c>
      <c r="M5" s="9">
        <v>149810724</v>
      </c>
      <c r="N5" s="9">
        <v>14516595696</v>
      </c>
      <c r="O5" s="9">
        <v>13984034997</v>
      </c>
      <c r="P5" s="9">
        <v>1697939867</v>
      </c>
      <c r="Q5" s="9">
        <v>459273065</v>
      </c>
      <c r="R5" s="8">
        <f t="shared" ref="R5:R11" si="0">SUM(B5:L5)</f>
        <v>62773190075</v>
      </c>
    </row>
    <row r="6" spans="1:20" x14ac:dyDescent="0.2">
      <c r="A6" s="1">
        <v>44469</v>
      </c>
      <c r="B6" s="9">
        <v>7237204694</v>
      </c>
      <c r="C6" s="9">
        <v>0</v>
      </c>
      <c r="D6" s="8"/>
      <c r="E6" s="8"/>
      <c r="F6" s="9">
        <v>999989000</v>
      </c>
      <c r="G6" s="9">
        <v>19434280489</v>
      </c>
      <c r="H6" s="9">
        <v>0</v>
      </c>
      <c r="I6" s="9">
        <v>3452029190</v>
      </c>
      <c r="J6" s="9">
        <v>3607629331</v>
      </c>
      <c r="K6" s="9">
        <v>3830441303</v>
      </c>
      <c r="L6" s="9">
        <v>30595197667</v>
      </c>
      <c r="M6" s="9">
        <v>499427619</v>
      </c>
      <c r="N6" s="9">
        <v>14045675366</v>
      </c>
      <c r="O6" s="9">
        <v>14853202692</v>
      </c>
      <c r="P6" s="9">
        <v>697445837</v>
      </c>
      <c r="Q6" s="9">
        <v>499446153</v>
      </c>
      <c r="R6" s="8">
        <f t="shared" si="0"/>
        <v>69156771674</v>
      </c>
    </row>
    <row r="7" spans="1:20" x14ac:dyDescent="0.2">
      <c r="A7" s="1">
        <v>44561</v>
      </c>
      <c r="B7" s="9">
        <v>4187004507</v>
      </c>
      <c r="C7" s="9">
        <v>0</v>
      </c>
      <c r="D7" s="8"/>
      <c r="E7" s="8"/>
      <c r="F7" s="9">
        <v>3000083600</v>
      </c>
      <c r="G7" s="9">
        <v>34527886113</v>
      </c>
      <c r="H7" s="9">
        <v>0</v>
      </c>
      <c r="I7" s="9">
        <v>4142957365</v>
      </c>
      <c r="J7" s="9">
        <v>3628506483</v>
      </c>
      <c r="K7" s="9">
        <v>5023389246</v>
      </c>
      <c r="L7" s="9">
        <v>24165815363</v>
      </c>
      <c r="M7" s="9">
        <v>624543913</v>
      </c>
      <c r="N7" s="9">
        <v>11179003365</v>
      </c>
      <c r="O7" s="9">
        <v>11812399062</v>
      </c>
      <c r="P7" s="9">
        <v>245016635</v>
      </c>
      <c r="Q7" s="9">
        <v>304852388</v>
      </c>
      <c r="R7" s="8">
        <f t="shared" si="0"/>
        <v>78675642677</v>
      </c>
    </row>
    <row r="8" spans="1:20" x14ac:dyDescent="0.2">
      <c r="A8" s="1">
        <v>44651</v>
      </c>
      <c r="B8" s="9">
        <v>4100485805</v>
      </c>
      <c r="C8" s="9">
        <v>105331269</v>
      </c>
      <c r="D8" s="8"/>
      <c r="E8" s="8"/>
      <c r="F8" s="9">
        <v>6798150552</v>
      </c>
      <c r="G8" s="9">
        <v>39199221428</v>
      </c>
      <c r="H8" s="9">
        <v>286155289</v>
      </c>
      <c r="I8" s="9">
        <v>3149732368</v>
      </c>
      <c r="J8" s="9">
        <v>3729529946</v>
      </c>
      <c r="K8" s="9">
        <v>4959634446</v>
      </c>
      <c r="L8" s="9">
        <v>20096579998</v>
      </c>
      <c r="M8" s="9">
        <v>2032035789</v>
      </c>
      <c r="N8" s="9">
        <v>10606186576</v>
      </c>
      <c r="O8" s="9">
        <v>7358285689</v>
      </c>
      <c r="P8" s="9">
        <v>100071944</v>
      </c>
      <c r="Q8" s="9">
        <v>0</v>
      </c>
      <c r="R8" s="8">
        <f t="shared" si="0"/>
        <v>82424821101</v>
      </c>
      <c r="T8" s="2"/>
    </row>
    <row r="9" spans="1:20" x14ac:dyDescent="0.2">
      <c r="A9" s="1">
        <v>44742</v>
      </c>
      <c r="B9" s="9">
        <v>5418232067</v>
      </c>
      <c r="C9" s="9">
        <v>2992015954</v>
      </c>
      <c r="D9" s="8"/>
      <c r="E9" s="8"/>
      <c r="F9" s="9">
        <v>6810253431</v>
      </c>
      <c r="G9" s="9">
        <v>28856434491</v>
      </c>
      <c r="H9" s="9">
        <v>397150678</v>
      </c>
      <c r="I9" s="9">
        <v>4494373260</v>
      </c>
      <c r="J9" s="9">
        <v>3486896735</v>
      </c>
      <c r="K9" s="9">
        <v>5551836303</v>
      </c>
      <c r="L9" s="9">
        <v>8402426505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8">
        <f t="shared" si="0"/>
        <v>66409619424</v>
      </c>
      <c r="T9" s="3"/>
    </row>
    <row r="10" spans="1:20" x14ac:dyDescent="0.2">
      <c r="A10" s="1">
        <v>44834</v>
      </c>
      <c r="B10" s="9">
        <v>6077722223</v>
      </c>
      <c r="C10" s="9">
        <v>3023814393</v>
      </c>
      <c r="D10" s="8"/>
      <c r="E10" s="8"/>
      <c r="F10" s="9">
        <v>7101935591</v>
      </c>
      <c r="G10" s="9">
        <v>39678465980</v>
      </c>
      <c r="H10" s="9">
        <v>182114357</v>
      </c>
      <c r="I10" s="9">
        <v>6135946415</v>
      </c>
      <c r="J10" s="9">
        <v>3194369894</v>
      </c>
      <c r="K10" s="9">
        <v>2617267750</v>
      </c>
      <c r="L10" s="9">
        <v>49981855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8">
        <f t="shared" si="0"/>
        <v>68061618458</v>
      </c>
    </row>
    <row r="11" spans="1:20" x14ac:dyDescent="0.2">
      <c r="A11" s="1">
        <v>44926</v>
      </c>
      <c r="B11" s="9">
        <v>5318311794</v>
      </c>
      <c r="C11" s="9">
        <v>3046093954</v>
      </c>
      <c r="D11" s="8"/>
      <c r="E11" s="8"/>
      <c r="F11" s="9">
        <v>7372926391</v>
      </c>
      <c r="G11" s="9">
        <v>39230259046</v>
      </c>
      <c r="H11" s="9">
        <v>93849833</v>
      </c>
      <c r="I11" s="9">
        <v>5852823328</v>
      </c>
      <c r="J11" s="9">
        <v>3444097599</v>
      </c>
      <c r="K11" s="9">
        <v>2685786230</v>
      </c>
      <c r="L11" s="9">
        <v>0</v>
      </c>
      <c r="R11" s="8">
        <f t="shared" si="0"/>
        <v>67044148175</v>
      </c>
    </row>
    <row r="12" spans="1:20" x14ac:dyDescent="0.2">
      <c r="A12" s="1">
        <v>45016</v>
      </c>
      <c r="B12" s="9">
        <v>481350555</v>
      </c>
      <c r="C12" s="9">
        <f>D12+E12</f>
        <v>8286850807</v>
      </c>
      <c r="D12" s="8">
        <f>7500000000</f>
        <v>7500000000</v>
      </c>
      <c r="E12" s="8">
        <v>786850807</v>
      </c>
      <c r="F12" s="9">
        <v>7453204896</v>
      </c>
      <c r="G12" s="9">
        <v>53044762609</v>
      </c>
      <c r="H12" s="9">
        <v>47680940</v>
      </c>
      <c r="I12" s="9">
        <v>5349078821</v>
      </c>
      <c r="J12" s="9">
        <f>140669244+3391091658+1500064140</f>
        <v>5031825042</v>
      </c>
      <c r="K12" s="9">
        <v>2138395675</v>
      </c>
      <c r="L12" s="9">
        <v>0</v>
      </c>
      <c r="R12" s="8">
        <f>SUM(B12:L12)-C12</f>
        <v>81833149345</v>
      </c>
    </row>
    <row r="13" spans="1:20" x14ac:dyDescent="0.2">
      <c r="A13" s="1">
        <v>45107</v>
      </c>
      <c r="B13" s="9">
        <v>90811797</v>
      </c>
      <c r="C13" s="9">
        <f t="shared" ref="C13:C23" si="1">D13+E13</f>
        <v>9470232281</v>
      </c>
      <c r="D13" s="8">
        <v>8893000000</v>
      </c>
      <c r="E13" s="8">
        <v>577232281</v>
      </c>
      <c r="F13" s="9">
        <v>8133865426</v>
      </c>
      <c r="G13" s="9">
        <v>55809730658</v>
      </c>
      <c r="H13" s="9">
        <v>62937172</v>
      </c>
      <c r="I13" s="9">
        <v>5504292639</v>
      </c>
      <c r="J13" s="9">
        <f>115496758+3270216824+1676229360</f>
        <v>5061942942</v>
      </c>
      <c r="K13" s="9">
        <v>2365438303</v>
      </c>
      <c r="R13" s="8">
        <f t="shared" ref="R13:R22" si="2">SUM(B13:L13)-C13</f>
        <v>86499251218</v>
      </c>
    </row>
    <row r="14" spans="1:20" x14ac:dyDescent="0.2">
      <c r="A14" s="1">
        <v>45199</v>
      </c>
      <c r="B14" s="9">
        <v>292641978</v>
      </c>
      <c r="C14" s="9">
        <f t="shared" si="1"/>
        <v>8855002048</v>
      </c>
      <c r="D14" s="8">
        <v>8203000000</v>
      </c>
      <c r="E14" s="8">
        <v>652002048</v>
      </c>
      <c r="F14" s="9">
        <v>8233687005</v>
      </c>
      <c r="G14" s="9">
        <v>56611569049</v>
      </c>
      <c r="H14" s="9">
        <v>65248902</v>
      </c>
      <c r="I14" s="9">
        <v>5168269890</v>
      </c>
      <c r="J14" s="8">
        <f>88570555+3149722956+1661948724</f>
        <v>4900242235</v>
      </c>
      <c r="K14" s="9">
        <v>2257992725</v>
      </c>
      <c r="R14" s="8">
        <f t="shared" si="2"/>
        <v>86384653832</v>
      </c>
    </row>
    <row r="15" spans="1:20" x14ac:dyDescent="0.2">
      <c r="A15" s="1">
        <v>45291</v>
      </c>
      <c r="B15" s="9">
        <v>394746540</v>
      </c>
      <c r="C15" s="9">
        <f t="shared" si="1"/>
        <v>10174425226</v>
      </c>
      <c r="D15" s="8">
        <v>9359124175</v>
      </c>
      <c r="E15" s="8">
        <v>815301051</v>
      </c>
      <c r="F15" s="9">
        <v>8339339590</v>
      </c>
      <c r="G15" s="9">
        <v>63086013400</v>
      </c>
      <c r="H15" s="9">
        <v>69259151</v>
      </c>
      <c r="I15" s="9">
        <v>4804666695</v>
      </c>
      <c r="J15" s="9">
        <v>6379510187</v>
      </c>
      <c r="K15" s="9">
        <v>3772433767</v>
      </c>
      <c r="R15" s="8">
        <f t="shared" si="2"/>
        <v>97020394556</v>
      </c>
    </row>
    <row r="16" spans="1:20" x14ac:dyDescent="0.2">
      <c r="A16" s="1">
        <v>45382</v>
      </c>
      <c r="B16" s="9">
        <v>100264024</v>
      </c>
      <c r="C16" s="9">
        <f t="shared" si="1"/>
        <v>12150460897</v>
      </c>
      <c r="D16" s="8">
        <v>11311946813</v>
      </c>
      <c r="E16" s="8">
        <v>838514084</v>
      </c>
      <c r="F16" s="9">
        <v>6279586483</v>
      </c>
      <c r="G16" s="9">
        <v>74045290303</v>
      </c>
      <c r="H16" s="9">
        <v>122452086</v>
      </c>
      <c r="I16" s="9">
        <v>4735309369</v>
      </c>
      <c r="J16" s="9">
        <v>9050438210</v>
      </c>
      <c r="K16" s="9">
        <v>3805605037</v>
      </c>
      <c r="R16" s="8">
        <f t="shared" si="2"/>
        <v>110289406409</v>
      </c>
    </row>
    <row r="17" spans="1:18" x14ac:dyDescent="0.2">
      <c r="A17" s="1">
        <v>45473</v>
      </c>
      <c r="B17" s="9">
        <v>109867228</v>
      </c>
      <c r="C17" s="9">
        <f t="shared" si="1"/>
        <v>12284345406</v>
      </c>
      <c r="D17" s="8">
        <v>11286972273</v>
      </c>
      <c r="E17" s="8">
        <v>997373133</v>
      </c>
      <c r="F17" s="9">
        <v>6355402510</v>
      </c>
      <c r="G17" s="9">
        <v>80948647984</v>
      </c>
      <c r="H17" s="9">
        <v>72412344</v>
      </c>
      <c r="I17" s="9">
        <v>6571282257</v>
      </c>
      <c r="J17" s="9">
        <v>8565752554</v>
      </c>
      <c r="K17" s="9">
        <v>3528626010</v>
      </c>
      <c r="R17" s="8">
        <f t="shared" si="2"/>
        <v>118436336293</v>
      </c>
    </row>
    <row r="18" spans="1:18" x14ac:dyDescent="0.2">
      <c r="A18" s="1">
        <v>45565</v>
      </c>
      <c r="B18" s="9">
        <v>78413266</v>
      </c>
      <c r="C18" s="9">
        <f t="shared" si="1"/>
        <v>14109169349</v>
      </c>
      <c r="D18" s="8">
        <f>1566204143</f>
        <v>1566204143</v>
      </c>
      <c r="E18" s="8">
        <v>12542965206</v>
      </c>
      <c r="F18" s="9">
        <v>6436961021</v>
      </c>
      <c r="G18" s="9">
        <v>84548020412</v>
      </c>
      <c r="H18" s="9">
        <v>91310586</v>
      </c>
      <c r="I18" s="9">
        <v>6721817210</v>
      </c>
      <c r="J18" s="9">
        <v>9762581208</v>
      </c>
      <c r="K18" s="9">
        <v>3723727227</v>
      </c>
      <c r="R18" s="8">
        <f t="shared" si="2"/>
        <v>125472000279</v>
      </c>
    </row>
    <row r="19" spans="1:18" x14ac:dyDescent="0.2">
      <c r="A19" s="1">
        <v>45657</v>
      </c>
      <c r="B19" s="9">
        <v>108844601</v>
      </c>
      <c r="C19" s="9">
        <f t="shared" si="1"/>
        <v>17179075788</v>
      </c>
      <c r="D19" s="8">
        <v>14101623321</v>
      </c>
      <c r="E19" s="8">
        <v>3077452467</v>
      </c>
      <c r="F19" s="9">
        <v>6506444067</v>
      </c>
      <c r="G19" s="9">
        <v>94471651607</v>
      </c>
      <c r="H19" s="9">
        <v>69263354</v>
      </c>
      <c r="I19" s="9">
        <v>8194007406</v>
      </c>
      <c r="J19" s="9">
        <v>13190675491</v>
      </c>
      <c r="K19" s="9">
        <v>3984793433</v>
      </c>
      <c r="R19" s="8">
        <f t="shared" si="2"/>
        <v>143704755747</v>
      </c>
    </row>
    <row r="20" spans="1:18" x14ac:dyDescent="0.2">
      <c r="A20" s="1">
        <v>45747</v>
      </c>
      <c r="B20" s="9">
        <v>64302555</v>
      </c>
      <c r="C20" s="9">
        <f t="shared" si="1"/>
        <v>16707592413</v>
      </c>
      <c r="D20" s="8">
        <v>15093981718</v>
      </c>
      <c r="E20" s="8">
        <v>1613610695</v>
      </c>
      <c r="F20" s="9">
        <v>6285638008</v>
      </c>
      <c r="G20" s="9">
        <v>98523657338</v>
      </c>
      <c r="H20" s="9">
        <v>65886184</v>
      </c>
      <c r="I20" s="9">
        <v>8825524405</v>
      </c>
      <c r="J20" s="9">
        <v>14339770876</v>
      </c>
      <c r="K20" s="9">
        <v>4462144209</v>
      </c>
      <c r="R20" s="8">
        <f t="shared" si="2"/>
        <v>149274515988</v>
      </c>
    </row>
    <row r="21" spans="1:18" x14ac:dyDescent="0.2">
      <c r="A21" s="1">
        <v>45838</v>
      </c>
      <c r="B21" s="9">
        <v>32430726</v>
      </c>
      <c r="C21" s="9">
        <f t="shared" si="1"/>
        <v>18008835683</v>
      </c>
      <c r="D21" s="8">
        <f>16341965339</f>
        <v>16341965339</v>
      </c>
      <c r="E21" s="8">
        <v>1666870344</v>
      </c>
      <c r="F21" s="9">
        <v>6345999587</v>
      </c>
      <c r="G21" s="9">
        <v>105518993610</v>
      </c>
      <c r="H21" s="9">
        <v>48169774</v>
      </c>
      <c r="I21" s="9">
        <v>10137145089</v>
      </c>
      <c r="J21" s="9">
        <f>14605090+8725417224+8928174931</f>
        <v>17668197245</v>
      </c>
      <c r="K21" s="9">
        <v>4815162084</v>
      </c>
      <c r="R21" s="8">
        <f t="shared" si="2"/>
        <v>162574933798</v>
      </c>
    </row>
    <row r="22" spans="1:18" x14ac:dyDescent="0.2">
      <c r="A22" s="1">
        <v>45930</v>
      </c>
      <c r="B22" s="9">
        <v>30100334</v>
      </c>
      <c r="C22" s="9">
        <f t="shared" si="1"/>
        <v>21047660467</v>
      </c>
      <c r="D22" s="8">
        <f>17991468781</f>
        <v>17991468781</v>
      </c>
      <c r="E22" s="8">
        <v>3056191686</v>
      </c>
      <c r="F22" s="9">
        <v>6409774689</v>
      </c>
      <c r="G22" s="9">
        <v>112417034272</v>
      </c>
      <c r="H22" s="9">
        <v>47901280</v>
      </c>
      <c r="I22" s="9">
        <v>14604086904</v>
      </c>
      <c r="J22" s="9">
        <f>14672361+12921449635+9856011011</f>
        <v>22792133007</v>
      </c>
      <c r="K22" s="9">
        <v>3874458261</v>
      </c>
      <c r="R22" s="8">
        <f t="shared" si="2"/>
        <v>181223149214</v>
      </c>
    </row>
    <row r="23" spans="1:18" x14ac:dyDescent="0.2">
      <c r="A23" s="1">
        <v>46022</v>
      </c>
      <c r="B23" s="9">
        <v>33952735</v>
      </c>
      <c r="C23" s="9">
        <f t="shared" si="1"/>
        <v>24827847891</v>
      </c>
      <c r="D23" s="8">
        <v>19279408559</v>
      </c>
      <c r="E23" s="8">
        <v>5548439332</v>
      </c>
      <c r="F23" s="9">
        <v>0</v>
      </c>
      <c r="G23" s="9">
        <v>122325714946</v>
      </c>
      <c r="H23" s="9">
        <v>0</v>
      </c>
      <c r="I23" s="9">
        <v>17043516665</v>
      </c>
      <c r="J23">
        <f>3031239+17450435088+8430374292</f>
        <v>25883840619</v>
      </c>
      <c r="K23" s="9">
        <v>2762856288</v>
      </c>
      <c r="R23" s="8">
        <f>SUM(B23:L23)-C23</f>
        <v>192877729144</v>
      </c>
    </row>
    <row r="24" spans="1:18" x14ac:dyDescent="0.2">
      <c r="B24" s="8"/>
      <c r="C24" s="9"/>
      <c r="D24" s="8"/>
      <c r="E24" s="8"/>
      <c r="R24" s="8"/>
    </row>
    <row r="25" spans="1:18" x14ac:dyDescent="0.2">
      <c r="C25" s="9"/>
      <c r="D25" s="8"/>
      <c r="E25" s="8"/>
      <c r="R25" s="8"/>
    </row>
    <row r="26" spans="1:18" x14ac:dyDescent="0.2">
      <c r="C26" s="9"/>
      <c r="D26" s="8"/>
      <c r="E26" s="8"/>
      <c r="R26" s="8"/>
    </row>
    <row r="27" spans="1:18" x14ac:dyDescent="0.2">
      <c r="C27" s="9"/>
      <c r="D27" s="8"/>
      <c r="E27" s="8"/>
      <c r="R27" s="8"/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&amp;L&amp;"Calibri"&amp;11&amp;K000000INTERNAL FR/OFFICIAL USE // FRSONLY&amp;1#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2551-DC77-4DBA-8281-F6A4C0BD97BE}">
  <dimension ref="A1:G109"/>
  <sheetViews>
    <sheetView zoomScale="67" zoomScaleNormal="100" workbookViewId="0">
      <pane ySplit="3" topLeftCell="A85" activePane="bottomLeft" state="frozen"/>
      <selection pane="bottomLeft" activeCell="C108" sqref="C108"/>
    </sheetView>
  </sheetViews>
  <sheetFormatPr defaultRowHeight="15" x14ac:dyDescent="0.2"/>
  <cols>
    <col min="1" max="1" width="36.88671875" bestFit="1" customWidth="1"/>
    <col min="2" max="3" width="18.44140625" customWidth="1"/>
    <col min="4" max="4" width="17.6640625" customWidth="1"/>
    <col min="5" max="6" width="18.44140625" customWidth="1"/>
    <col min="7" max="7" width="16.88671875" bestFit="1" customWidth="1"/>
  </cols>
  <sheetData>
    <row r="1" spans="1:7" x14ac:dyDescent="0.2">
      <c r="A1" t="s">
        <v>27</v>
      </c>
    </row>
    <row r="3" spans="1:7" ht="47.25" x14ac:dyDescent="0.2">
      <c r="A3" s="5" t="s">
        <v>15</v>
      </c>
      <c r="B3" s="5" t="s">
        <v>16</v>
      </c>
      <c r="C3" s="5" t="s">
        <v>17</v>
      </c>
      <c r="D3" s="7" t="s">
        <v>29</v>
      </c>
      <c r="E3" s="7" t="s">
        <v>30</v>
      </c>
      <c r="F3" s="5" t="s">
        <v>18</v>
      </c>
      <c r="G3" s="5" t="s">
        <v>19</v>
      </c>
    </row>
    <row r="4" spans="1:7" x14ac:dyDescent="0.2">
      <c r="A4" s="1">
        <v>44796</v>
      </c>
      <c r="B4" s="9">
        <v>9102533250</v>
      </c>
      <c r="C4" s="9">
        <v>641701458</v>
      </c>
      <c r="D4" s="9"/>
      <c r="E4" s="9"/>
      <c r="F4" s="9">
        <v>9409833491</v>
      </c>
      <c r="G4" s="8">
        <f t="shared" ref="G4:G19" si="0">SUM(B4:F4)</f>
        <v>19154068199</v>
      </c>
    </row>
    <row r="5" spans="1:7" x14ac:dyDescent="0.2">
      <c r="A5" s="1">
        <v>44804</v>
      </c>
      <c r="B5" s="9">
        <v>10531509750</v>
      </c>
      <c r="C5" s="9">
        <v>625700366</v>
      </c>
      <c r="D5" s="9"/>
      <c r="E5" s="9"/>
      <c r="F5" s="9">
        <v>8351631126</v>
      </c>
      <c r="G5" s="8">
        <f t="shared" si="0"/>
        <v>19508841242</v>
      </c>
    </row>
    <row r="6" spans="1:7" x14ac:dyDescent="0.2">
      <c r="A6" s="1">
        <v>44820</v>
      </c>
      <c r="B6" s="9">
        <v>10007100000</v>
      </c>
      <c r="C6" s="9">
        <v>1005413392</v>
      </c>
      <c r="D6" s="9"/>
      <c r="E6" s="9"/>
      <c r="F6" s="9">
        <v>9807300099</v>
      </c>
      <c r="G6" s="8">
        <f t="shared" si="0"/>
        <v>20819813491</v>
      </c>
    </row>
    <row r="7" spans="1:7" x14ac:dyDescent="0.2">
      <c r="A7" s="1">
        <v>44834</v>
      </c>
      <c r="B7" s="9">
        <v>5344377400</v>
      </c>
      <c r="C7" s="9">
        <v>1887962585</v>
      </c>
      <c r="D7" s="9"/>
      <c r="E7" s="9"/>
      <c r="F7" s="9">
        <v>14025000002</v>
      </c>
      <c r="G7" s="8">
        <f t="shared" si="0"/>
        <v>21257339987</v>
      </c>
    </row>
    <row r="8" spans="1:7" x14ac:dyDescent="0.2">
      <c r="A8" s="1">
        <v>44853</v>
      </c>
      <c r="B8" s="9">
        <v>6211093500</v>
      </c>
      <c r="C8" s="9">
        <v>1565205749</v>
      </c>
      <c r="D8" s="9"/>
      <c r="E8" s="9"/>
      <c r="F8" s="9">
        <v>14125531538</v>
      </c>
      <c r="G8" s="8">
        <f t="shared" si="0"/>
        <v>21901830787</v>
      </c>
    </row>
    <row r="9" spans="1:7" x14ac:dyDescent="0.2">
      <c r="A9" s="1">
        <v>44865</v>
      </c>
      <c r="B9" s="9">
        <v>6135825500</v>
      </c>
      <c r="C9" s="9">
        <v>873291776</v>
      </c>
      <c r="D9" s="9"/>
      <c r="E9" s="9"/>
      <c r="F9" s="9">
        <v>14484000012</v>
      </c>
      <c r="G9" s="8">
        <f t="shared" si="0"/>
        <v>21493117288</v>
      </c>
    </row>
    <row r="10" spans="1:7" x14ac:dyDescent="0.2">
      <c r="A10" s="1">
        <v>44879</v>
      </c>
      <c r="B10" s="9">
        <v>4376653000</v>
      </c>
      <c r="C10" s="9">
        <v>880370397</v>
      </c>
      <c r="D10" s="9"/>
      <c r="E10" s="9"/>
      <c r="F10" s="9">
        <v>18804395532</v>
      </c>
      <c r="G10" s="8">
        <f t="shared" si="0"/>
        <v>24061418929</v>
      </c>
    </row>
    <row r="11" spans="1:7" x14ac:dyDescent="0.2">
      <c r="A11" s="1">
        <v>44895</v>
      </c>
      <c r="B11" s="9">
        <v>6069488500</v>
      </c>
      <c r="C11" s="9">
        <v>423139891</v>
      </c>
      <c r="D11" s="9"/>
      <c r="E11" s="9"/>
      <c r="F11" s="9">
        <v>16161441593</v>
      </c>
      <c r="G11" s="8">
        <f t="shared" si="0"/>
        <v>22654069984</v>
      </c>
    </row>
    <row r="12" spans="1:7" x14ac:dyDescent="0.2">
      <c r="A12" s="1">
        <v>44903</v>
      </c>
      <c r="B12" s="9">
        <v>5776218000</v>
      </c>
      <c r="C12" s="9">
        <v>312445399</v>
      </c>
      <c r="D12" s="9"/>
      <c r="E12" s="9"/>
      <c r="F12" s="9">
        <v>16391252621</v>
      </c>
      <c r="G12" s="8">
        <f t="shared" si="0"/>
        <v>22479916020</v>
      </c>
    </row>
    <row r="13" spans="1:7" x14ac:dyDescent="0.2">
      <c r="A13" s="1">
        <v>44925</v>
      </c>
      <c r="B13" s="9">
        <v>3888435500</v>
      </c>
      <c r="C13" s="9">
        <v>582836893</v>
      </c>
      <c r="D13" s="9"/>
      <c r="E13" s="9"/>
      <c r="F13" s="9">
        <v>12576600064</v>
      </c>
      <c r="G13" s="8">
        <f t="shared" si="0"/>
        <v>17047872457</v>
      </c>
    </row>
    <row r="14" spans="1:7" x14ac:dyDescent="0.2">
      <c r="A14" s="1">
        <v>44957</v>
      </c>
      <c r="B14" s="9">
        <v>3324310224</v>
      </c>
      <c r="C14" s="9">
        <v>636407672</v>
      </c>
      <c r="D14" s="9"/>
      <c r="E14" s="9"/>
      <c r="F14" s="9">
        <v>12195000000</v>
      </c>
      <c r="G14" s="8">
        <f t="shared" si="0"/>
        <v>16155717896</v>
      </c>
    </row>
    <row r="15" spans="1:7" x14ac:dyDescent="0.2">
      <c r="A15" s="1">
        <v>44967</v>
      </c>
      <c r="B15" s="9">
        <v>3083407173</v>
      </c>
      <c r="C15" s="9">
        <v>835208187</v>
      </c>
      <c r="D15" s="9"/>
      <c r="E15" s="9"/>
      <c r="F15" s="9">
        <v>12270000000</v>
      </c>
      <c r="G15" s="8">
        <f t="shared" si="0"/>
        <v>16188615360</v>
      </c>
    </row>
    <row r="16" spans="1:7" x14ac:dyDescent="0.2">
      <c r="A16" s="1">
        <v>44971</v>
      </c>
      <c r="B16" s="9">
        <v>3084165311</v>
      </c>
      <c r="C16" s="9">
        <v>1415583777</v>
      </c>
      <c r="D16" s="9"/>
      <c r="E16" s="9"/>
      <c r="F16" s="9">
        <v>11000000000</v>
      </c>
      <c r="G16" s="8">
        <f t="shared" si="0"/>
        <v>15499749088</v>
      </c>
    </row>
    <row r="17" spans="1:7" x14ac:dyDescent="0.2">
      <c r="A17" s="1">
        <v>44973</v>
      </c>
      <c r="B17" s="9">
        <v>3090759596</v>
      </c>
      <c r="C17" s="9">
        <v>1175253372</v>
      </c>
      <c r="D17" s="9"/>
      <c r="E17" s="9"/>
      <c r="F17" s="9">
        <v>9500000000</v>
      </c>
      <c r="G17" s="8">
        <f t="shared" si="0"/>
        <v>13766012968</v>
      </c>
    </row>
    <row r="18" spans="1:7" x14ac:dyDescent="0.2">
      <c r="A18" s="1">
        <v>44978</v>
      </c>
      <c r="B18" s="9">
        <v>2642089527</v>
      </c>
      <c r="C18" s="9">
        <v>738355936</v>
      </c>
      <c r="D18" s="9"/>
      <c r="E18" s="9"/>
      <c r="F18" s="9">
        <v>9105000000</v>
      </c>
      <c r="G18" s="8">
        <f t="shared" si="0"/>
        <v>12485445463</v>
      </c>
    </row>
    <row r="19" spans="1:7" x14ac:dyDescent="0.2">
      <c r="A19" s="1">
        <v>44980</v>
      </c>
      <c r="B19" s="9">
        <v>3093132666</v>
      </c>
      <c r="C19" s="9">
        <v>737091666</v>
      </c>
      <c r="D19" s="9" t="s">
        <v>31</v>
      </c>
      <c r="E19" s="9" t="s">
        <v>31</v>
      </c>
      <c r="F19" s="9">
        <v>7860000000</v>
      </c>
      <c r="G19" s="8">
        <f t="shared" si="0"/>
        <v>11690224332</v>
      </c>
    </row>
    <row r="20" spans="1:7" x14ac:dyDescent="0.2">
      <c r="A20" s="1">
        <v>44985</v>
      </c>
      <c r="B20" s="9">
        <v>3092938720</v>
      </c>
      <c r="C20" s="9">
        <v>684759467</v>
      </c>
      <c r="D20">
        <v>637686198</v>
      </c>
      <c r="E20">
        <v>46891269</v>
      </c>
      <c r="F20" s="9">
        <v>6815000000</v>
      </c>
      <c r="G20" s="8">
        <f>SUM(B20,C20,F20)</f>
        <v>10592698187</v>
      </c>
    </row>
    <row r="21" spans="1:7" x14ac:dyDescent="0.2">
      <c r="A21" s="1">
        <v>44992</v>
      </c>
      <c r="B21" s="9">
        <v>3094072166</v>
      </c>
      <c r="C21" s="9">
        <v>705603117</v>
      </c>
      <c r="F21" s="9">
        <v>4685000000</v>
      </c>
      <c r="G21" s="8">
        <f>SUM(B21,C21,F21)</f>
        <v>8484675283</v>
      </c>
    </row>
    <row r="22" spans="1:7" x14ac:dyDescent="0.2">
      <c r="A22" s="1">
        <v>44994</v>
      </c>
      <c r="B22" s="9">
        <v>2844256124</v>
      </c>
      <c r="C22" s="9">
        <v>702750402</v>
      </c>
      <c r="F22" s="9">
        <v>4900000000</v>
      </c>
      <c r="G22" s="8">
        <f>SUM(B22,C22,F22)</f>
        <v>8447006526</v>
      </c>
    </row>
    <row r="23" spans="1:7" x14ac:dyDescent="0.2">
      <c r="A23" s="1">
        <v>44998</v>
      </c>
      <c r="B23" s="9">
        <v>3344196124</v>
      </c>
      <c r="C23" s="9">
        <v>69903625</v>
      </c>
      <c r="F23" s="9">
        <v>5010000000</v>
      </c>
      <c r="G23" s="8">
        <f t="shared" ref="G23:G41" si="1">SUM(B23,C23,F23)</f>
        <v>8424099749</v>
      </c>
    </row>
    <row r="24" spans="1:7" x14ac:dyDescent="0.2">
      <c r="A24" s="1">
        <v>45007</v>
      </c>
      <c r="B24" s="9">
        <v>2844106416</v>
      </c>
      <c r="C24" s="9">
        <v>127883866</v>
      </c>
      <c r="F24" s="9">
        <v>5115000000</v>
      </c>
      <c r="G24" s="8">
        <f t="shared" si="1"/>
        <v>8086990282</v>
      </c>
    </row>
    <row r="25" spans="1:7" x14ac:dyDescent="0.2">
      <c r="A25" s="1">
        <v>45014</v>
      </c>
      <c r="B25" s="9">
        <v>2844026971</v>
      </c>
      <c r="C25" s="9">
        <v>99560663</v>
      </c>
      <c r="F25" s="9">
        <v>4750000000</v>
      </c>
      <c r="G25" s="8">
        <f t="shared" si="1"/>
        <v>7693587634</v>
      </c>
    </row>
    <row r="26" spans="1:7" x14ac:dyDescent="0.2">
      <c r="A26" s="1">
        <v>45016</v>
      </c>
      <c r="B26" s="9">
        <v>2848343400</v>
      </c>
      <c r="C26" s="9">
        <v>4625000000</v>
      </c>
      <c r="D26" s="9">
        <v>61717559</v>
      </c>
      <c r="E26" s="9">
        <v>56860351</v>
      </c>
      <c r="F26" s="9">
        <v>4625000000</v>
      </c>
      <c r="G26" s="8">
        <f t="shared" si="1"/>
        <v>12098343400</v>
      </c>
    </row>
    <row r="27" spans="1:7" x14ac:dyDescent="0.2">
      <c r="A27" s="1">
        <v>45027</v>
      </c>
      <c r="B27" s="9">
        <v>2545222738</v>
      </c>
      <c r="C27" s="9">
        <v>86783458</v>
      </c>
      <c r="D27" s="9"/>
      <c r="E27" s="9"/>
      <c r="F27" s="9">
        <v>4305000000</v>
      </c>
      <c r="G27" s="8">
        <f t="shared" si="1"/>
        <v>6937006196</v>
      </c>
    </row>
    <row r="28" spans="1:7" x14ac:dyDescent="0.2">
      <c r="A28" s="1">
        <v>45033</v>
      </c>
      <c r="B28" s="9">
        <v>2346601072</v>
      </c>
      <c r="C28" s="9">
        <v>36452325</v>
      </c>
      <c r="D28" s="9"/>
      <c r="E28" s="9"/>
      <c r="F28" s="9">
        <v>4250000000</v>
      </c>
      <c r="G28" s="8">
        <f t="shared" si="1"/>
        <v>6633053397</v>
      </c>
    </row>
    <row r="29" spans="1:7" x14ac:dyDescent="0.2">
      <c r="A29" s="1">
        <v>45040</v>
      </c>
      <c r="B29" s="9">
        <v>2396863830</v>
      </c>
      <c r="C29" s="9">
        <v>75982822</v>
      </c>
      <c r="D29" s="9"/>
      <c r="E29" s="9"/>
      <c r="F29" s="9">
        <v>3960000000</v>
      </c>
      <c r="G29" s="8">
        <f t="shared" si="1"/>
        <v>6432846652</v>
      </c>
    </row>
    <row r="30" spans="1:7" x14ac:dyDescent="0.2">
      <c r="A30" s="1">
        <v>45044</v>
      </c>
      <c r="B30" s="9">
        <v>489036558</v>
      </c>
      <c r="C30" s="9">
        <v>9917739</v>
      </c>
      <c r="D30" s="9"/>
      <c r="E30" s="9">
        <v>9917739</v>
      </c>
      <c r="F30" s="9">
        <v>5725000000</v>
      </c>
      <c r="G30" s="8">
        <f t="shared" si="1"/>
        <v>6223954297</v>
      </c>
    </row>
    <row r="31" spans="1:7" x14ac:dyDescent="0.2">
      <c r="A31" s="1">
        <v>45054</v>
      </c>
      <c r="B31" s="9">
        <v>229354663</v>
      </c>
      <c r="C31" s="9">
        <v>36496374</v>
      </c>
      <c r="F31" s="9">
        <v>5640000000</v>
      </c>
      <c r="G31" s="8">
        <f t="shared" si="1"/>
        <v>5905851037</v>
      </c>
    </row>
    <row r="32" spans="1:7" x14ac:dyDescent="0.2">
      <c r="A32" s="1">
        <v>45061</v>
      </c>
      <c r="B32" s="9">
        <v>1169970383</v>
      </c>
      <c r="C32" s="9">
        <v>2566798</v>
      </c>
      <c r="F32" s="9">
        <v>4400000000</v>
      </c>
      <c r="G32" s="8">
        <f t="shared" si="1"/>
        <v>5572537181</v>
      </c>
    </row>
    <row r="33" spans="1:7" x14ac:dyDescent="0.2">
      <c r="A33" s="1">
        <v>45068</v>
      </c>
      <c r="B33" s="9">
        <v>1618062883</v>
      </c>
      <c r="C33" s="9">
        <v>28775416</v>
      </c>
      <c r="F33" s="9">
        <v>3840000000</v>
      </c>
      <c r="G33" s="8">
        <f t="shared" si="1"/>
        <v>5486838299</v>
      </c>
    </row>
    <row r="34" spans="1:7" x14ac:dyDescent="0.2">
      <c r="A34" s="1">
        <v>45077</v>
      </c>
      <c r="B34" s="9">
        <v>2365797466</v>
      </c>
      <c r="C34" s="9">
        <v>6310303</v>
      </c>
      <c r="E34" s="9">
        <v>6310303</v>
      </c>
      <c r="F34" s="9">
        <v>2845000000</v>
      </c>
      <c r="G34" s="8">
        <f t="shared" si="1"/>
        <v>5217107769</v>
      </c>
    </row>
    <row r="35" spans="1:7" x14ac:dyDescent="0.2">
      <c r="A35" s="1">
        <v>45089</v>
      </c>
      <c r="B35" s="9">
        <v>996196250</v>
      </c>
      <c r="C35" s="9">
        <v>21489553</v>
      </c>
      <c r="F35" s="9">
        <v>3635000000</v>
      </c>
      <c r="G35" s="8">
        <f t="shared" si="1"/>
        <v>4652685803</v>
      </c>
    </row>
    <row r="36" spans="1:7" x14ac:dyDescent="0.2">
      <c r="A36" s="1">
        <v>45097</v>
      </c>
      <c r="B36" s="9"/>
      <c r="C36" s="9">
        <v>13442030</v>
      </c>
      <c r="F36" s="9">
        <v>4275000000</v>
      </c>
      <c r="G36" s="8">
        <f t="shared" si="1"/>
        <v>4288442030</v>
      </c>
    </row>
    <row r="37" spans="1:7" x14ac:dyDescent="0.2">
      <c r="A37" s="1">
        <v>45103</v>
      </c>
      <c r="C37" s="9">
        <v>48506778</v>
      </c>
      <c r="F37" s="9">
        <v>4190000000</v>
      </c>
      <c r="G37" s="8">
        <f t="shared" si="1"/>
        <v>4238506778</v>
      </c>
    </row>
    <row r="38" spans="1:7" x14ac:dyDescent="0.2">
      <c r="A38" s="1">
        <v>45107</v>
      </c>
      <c r="B38" s="9">
        <v>49806333</v>
      </c>
      <c r="C38" s="9">
        <v>8424737</v>
      </c>
      <c r="E38">
        <v>8424737</v>
      </c>
      <c r="F38" s="9">
        <v>4100000000</v>
      </c>
      <c r="G38" s="8">
        <f t="shared" si="1"/>
        <v>4158231070</v>
      </c>
    </row>
    <row r="39" spans="1:7" x14ac:dyDescent="0.2">
      <c r="A39" s="1">
        <v>45117</v>
      </c>
      <c r="B39" s="9">
        <v>49806333</v>
      </c>
      <c r="C39" s="9">
        <v>12718891</v>
      </c>
      <c r="F39" s="9">
        <v>3995000000</v>
      </c>
      <c r="G39" s="8">
        <f t="shared" si="1"/>
        <v>4057525224</v>
      </c>
    </row>
    <row r="40" spans="1:7" x14ac:dyDescent="0.2">
      <c r="A40" s="1">
        <v>45124</v>
      </c>
      <c r="B40" s="9">
        <v>224105360</v>
      </c>
      <c r="C40" s="9">
        <v>13285897</v>
      </c>
      <c r="F40" s="9">
        <v>3700000000</v>
      </c>
      <c r="G40" s="8">
        <f t="shared" si="1"/>
        <v>3937391257</v>
      </c>
    </row>
    <row r="41" spans="1:7" x14ac:dyDescent="0.2">
      <c r="A41" s="1">
        <v>45131</v>
      </c>
      <c r="B41" s="9">
        <v>323701693</v>
      </c>
      <c r="C41" s="9">
        <v>15163888</v>
      </c>
      <c r="F41" s="9">
        <v>3495000000</v>
      </c>
      <c r="G41" s="8">
        <f t="shared" si="1"/>
        <v>3833865581</v>
      </c>
    </row>
    <row r="42" spans="1:7" x14ac:dyDescent="0.2">
      <c r="A42" s="1">
        <v>45138</v>
      </c>
      <c r="B42" s="9">
        <v>323690999</v>
      </c>
      <c r="C42" s="9">
        <v>10595871</v>
      </c>
      <c r="E42">
        <v>10595871</v>
      </c>
      <c r="F42" s="9">
        <v>3350000000</v>
      </c>
      <c r="G42" s="8">
        <f>SUM(B42,C42,F42)</f>
        <v>3684286870</v>
      </c>
    </row>
    <row r="43" spans="1:7" x14ac:dyDescent="0.2">
      <c r="A43" s="1">
        <v>45145</v>
      </c>
      <c r="B43" s="9">
        <v>423280332</v>
      </c>
      <c r="C43" s="9">
        <v>3469952</v>
      </c>
      <c r="F43" s="9">
        <v>2970000000</v>
      </c>
      <c r="G43" s="8">
        <f>SUM(B43,C43,F43)</f>
        <v>3396750284</v>
      </c>
    </row>
    <row r="44" spans="1:7" x14ac:dyDescent="0.2">
      <c r="A44" s="1">
        <v>45152</v>
      </c>
      <c r="B44" s="9">
        <v>248981305</v>
      </c>
      <c r="C44" s="9">
        <v>14359714</v>
      </c>
      <c r="F44" s="9">
        <v>3100000000</v>
      </c>
      <c r="G44" s="8">
        <f>SUM(B44,C44,F44)</f>
        <v>3363341019</v>
      </c>
    </row>
    <row r="45" spans="1:7" x14ac:dyDescent="0.2">
      <c r="A45" s="1">
        <v>45159</v>
      </c>
      <c r="B45" s="9">
        <v>149384972</v>
      </c>
      <c r="C45" s="9">
        <v>16410546</v>
      </c>
      <c r="F45" s="9">
        <v>3060000000</v>
      </c>
      <c r="G45" s="8">
        <f>SUM(B45,C45,F45)</f>
        <v>3225795518</v>
      </c>
    </row>
    <row r="46" spans="1:7" x14ac:dyDescent="0.2">
      <c r="A46" s="1">
        <v>45166</v>
      </c>
      <c r="B46" s="9">
        <v>99589333</v>
      </c>
      <c r="C46" s="9">
        <v>23226326</v>
      </c>
      <c r="F46" s="9">
        <v>3005000000</v>
      </c>
      <c r="G46" s="8">
        <f>SUM(B46,C46,F46)</f>
        <v>3127815659</v>
      </c>
    </row>
    <row r="47" spans="1:7" x14ac:dyDescent="0.2">
      <c r="A47" s="1">
        <v>45169</v>
      </c>
      <c r="C47" s="9">
        <v>34374469</v>
      </c>
      <c r="E47">
        <v>34374469</v>
      </c>
      <c r="F47" s="9">
        <v>2955000000</v>
      </c>
      <c r="G47" s="8">
        <f t="shared" ref="G47:G109" si="2">SUM(B47,C47,F47)</f>
        <v>2989374469</v>
      </c>
    </row>
    <row r="48" spans="1:7" x14ac:dyDescent="0.2">
      <c r="A48" s="1">
        <v>45180</v>
      </c>
      <c r="C48" s="9">
        <v>30384146</v>
      </c>
      <c r="F48" s="9">
        <v>2513000000</v>
      </c>
      <c r="G48" s="8">
        <f t="shared" si="2"/>
        <v>2543384146</v>
      </c>
    </row>
    <row r="49" spans="1:7" x14ac:dyDescent="0.2">
      <c r="A49" s="1">
        <v>45187</v>
      </c>
      <c r="C49" s="9">
        <v>26040874</v>
      </c>
      <c r="F49" s="9">
        <v>2452000000</v>
      </c>
      <c r="G49" s="8">
        <f t="shared" si="2"/>
        <v>2478040874</v>
      </c>
    </row>
    <row r="50" spans="1:7" x14ac:dyDescent="0.2">
      <c r="A50" s="1">
        <v>45193</v>
      </c>
      <c r="C50" s="9">
        <v>11412148</v>
      </c>
      <c r="F50" s="9">
        <v>2342000000</v>
      </c>
      <c r="G50" s="8">
        <f t="shared" si="2"/>
        <v>2353412148</v>
      </c>
    </row>
    <row r="51" spans="1:7" x14ac:dyDescent="0.2">
      <c r="A51" s="1">
        <v>45198</v>
      </c>
      <c r="C51" s="9">
        <v>24306444</v>
      </c>
      <c r="E51">
        <v>24306444</v>
      </c>
      <c r="F51" s="9">
        <v>2246000000</v>
      </c>
      <c r="G51" s="8">
        <f t="shared" si="2"/>
        <v>2270306444</v>
      </c>
    </row>
    <row r="52" spans="1:7" x14ac:dyDescent="0.2">
      <c r="A52" s="1">
        <v>45208</v>
      </c>
      <c r="C52" s="9">
        <v>12525461</v>
      </c>
      <c r="F52" s="9">
        <v>2203000000</v>
      </c>
      <c r="G52" s="8">
        <f t="shared" si="2"/>
        <v>2215525461</v>
      </c>
    </row>
    <row r="53" spans="1:7" x14ac:dyDescent="0.2">
      <c r="A53" s="1">
        <v>45215</v>
      </c>
      <c r="B53">
        <v>49970722</v>
      </c>
      <c r="C53" s="9">
        <v>10381743</v>
      </c>
      <c r="F53" s="9">
        <v>2053000000</v>
      </c>
      <c r="G53" s="8">
        <f t="shared" si="2"/>
        <v>2113352465</v>
      </c>
    </row>
    <row r="54" spans="1:7" x14ac:dyDescent="0.2">
      <c r="A54" s="1">
        <v>45222</v>
      </c>
      <c r="C54" s="9">
        <v>10731528</v>
      </c>
      <c r="F54" s="9">
        <v>2091180000</v>
      </c>
      <c r="G54" s="8">
        <f t="shared" si="2"/>
        <v>2101911528</v>
      </c>
    </row>
    <row r="55" spans="1:7" x14ac:dyDescent="0.2">
      <c r="A55" s="1">
        <v>45230</v>
      </c>
      <c r="C55" s="9">
        <v>5598359</v>
      </c>
      <c r="E55">
        <v>5598359</v>
      </c>
      <c r="F55" s="9">
        <v>2011601000</v>
      </c>
      <c r="G55" s="8">
        <f t="shared" si="2"/>
        <v>2017199359</v>
      </c>
    </row>
    <row r="56" spans="1:7" x14ac:dyDescent="0.2">
      <c r="A56" s="1">
        <v>45236</v>
      </c>
      <c r="C56" s="9">
        <v>3332024</v>
      </c>
      <c r="F56" s="9">
        <v>1898317000</v>
      </c>
      <c r="G56" s="8">
        <f t="shared" si="2"/>
        <v>1901649024</v>
      </c>
    </row>
    <row r="57" spans="1:7" x14ac:dyDescent="0.2">
      <c r="A57" s="1">
        <v>45243</v>
      </c>
      <c r="C57" s="9">
        <v>5286067</v>
      </c>
      <c r="F57" s="9">
        <v>1861248000</v>
      </c>
      <c r="G57" s="8">
        <f t="shared" si="2"/>
        <v>1866534067</v>
      </c>
    </row>
    <row r="58" spans="1:7" x14ac:dyDescent="0.2">
      <c r="A58" s="1">
        <v>45250</v>
      </c>
      <c r="C58" s="9">
        <v>6076928</v>
      </c>
      <c r="F58" s="9">
        <v>1797130000</v>
      </c>
      <c r="G58" s="8">
        <f t="shared" si="2"/>
        <v>1803206928</v>
      </c>
    </row>
    <row r="59" spans="1:7" x14ac:dyDescent="0.2">
      <c r="A59" s="1">
        <v>45257</v>
      </c>
      <c r="C59" s="9">
        <v>13137253</v>
      </c>
      <c r="F59" s="9">
        <v>1699019000</v>
      </c>
      <c r="G59" s="8">
        <f t="shared" si="2"/>
        <v>1712156253</v>
      </c>
    </row>
    <row r="60" spans="1:7" x14ac:dyDescent="0.2">
      <c r="A60" s="1">
        <v>45287</v>
      </c>
      <c r="C60" s="9">
        <v>19739432</v>
      </c>
      <c r="F60" s="9">
        <v>1016341413</v>
      </c>
      <c r="G60" s="8">
        <f t="shared" si="2"/>
        <v>1036080845</v>
      </c>
    </row>
    <row r="61" spans="1:7" x14ac:dyDescent="0.2">
      <c r="A61" s="1">
        <v>45289</v>
      </c>
      <c r="C61" s="9">
        <v>19745779</v>
      </c>
      <c r="F61" s="9">
        <v>1016640213</v>
      </c>
      <c r="G61" s="8">
        <f t="shared" si="2"/>
        <v>1036385992</v>
      </c>
    </row>
    <row r="62" spans="1:7" x14ac:dyDescent="0.2">
      <c r="A62" s="1">
        <v>45303</v>
      </c>
      <c r="C62" s="9">
        <v>20863794</v>
      </c>
      <c r="F62" s="9">
        <v>526318056</v>
      </c>
      <c r="G62" s="8">
        <f t="shared" si="2"/>
        <v>547181850</v>
      </c>
    </row>
    <row r="63" spans="1:7" x14ac:dyDescent="0.2">
      <c r="A63" s="1">
        <v>45322</v>
      </c>
      <c r="C63" s="9">
        <v>1246746</v>
      </c>
      <c r="F63" s="9">
        <v>102573320</v>
      </c>
      <c r="G63" s="8">
        <f t="shared" si="2"/>
        <v>103820066</v>
      </c>
    </row>
    <row r="64" spans="1:7" x14ac:dyDescent="0.2">
      <c r="A64" s="1">
        <v>45327</v>
      </c>
      <c r="C64" s="9">
        <v>1232529</v>
      </c>
      <c r="F64" s="9">
        <v>102663228</v>
      </c>
      <c r="G64" s="8">
        <f t="shared" si="2"/>
        <v>103895757</v>
      </c>
    </row>
    <row r="65" spans="1:7" x14ac:dyDescent="0.2">
      <c r="A65" s="1">
        <v>45351</v>
      </c>
      <c r="C65" s="9">
        <v>936009</v>
      </c>
      <c r="F65" s="9">
        <v>85630030</v>
      </c>
      <c r="G65" s="8">
        <f t="shared" si="2"/>
        <v>86566039</v>
      </c>
    </row>
    <row r="66" spans="1:7" x14ac:dyDescent="0.2">
      <c r="A66" s="1">
        <v>45363</v>
      </c>
      <c r="C66" s="9">
        <v>936035</v>
      </c>
      <c r="F66" s="9">
        <v>85397525</v>
      </c>
      <c r="G66" s="8">
        <f t="shared" si="2"/>
        <v>86333560</v>
      </c>
    </row>
    <row r="67" spans="1:7" x14ac:dyDescent="0.2">
      <c r="A67" s="1">
        <v>45380</v>
      </c>
      <c r="C67" s="9">
        <v>935781</v>
      </c>
      <c r="F67" s="9">
        <v>85598489</v>
      </c>
      <c r="G67" s="8">
        <f t="shared" si="2"/>
        <v>86534270</v>
      </c>
    </row>
    <row r="68" spans="1:7" x14ac:dyDescent="0.2">
      <c r="A68" s="1">
        <v>45404</v>
      </c>
      <c r="C68" s="9">
        <v>935938</v>
      </c>
      <c r="F68" s="9">
        <v>71188860</v>
      </c>
      <c r="G68" s="8">
        <f t="shared" si="2"/>
        <v>72124798</v>
      </c>
    </row>
    <row r="69" spans="1:7" x14ac:dyDescent="0.2">
      <c r="A69" s="1">
        <v>45412</v>
      </c>
      <c r="C69" s="9">
        <v>935831</v>
      </c>
      <c r="F69" s="9">
        <v>71272500</v>
      </c>
      <c r="G69" s="8">
        <f t="shared" si="2"/>
        <v>72208331</v>
      </c>
    </row>
    <row r="70" spans="1:7" x14ac:dyDescent="0.2">
      <c r="A70" s="1">
        <v>45428</v>
      </c>
      <c r="C70" s="9">
        <v>935984</v>
      </c>
      <c r="F70" s="9">
        <v>71123580</v>
      </c>
      <c r="G70" s="8">
        <f t="shared" si="2"/>
        <v>72059564</v>
      </c>
    </row>
    <row r="71" spans="1:7" x14ac:dyDescent="0.2">
      <c r="A71" s="1">
        <v>45443</v>
      </c>
      <c r="C71" s="9">
        <v>935439</v>
      </c>
      <c r="F71" s="9">
        <v>71280660</v>
      </c>
      <c r="G71" s="8">
        <f t="shared" si="2"/>
        <v>72216099</v>
      </c>
    </row>
    <row r="72" spans="1:7" x14ac:dyDescent="0.2">
      <c r="A72" s="1">
        <v>45447</v>
      </c>
      <c r="C72" s="9">
        <v>935597</v>
      </c>
      <c r="F72" s="9">
        <v>71322480</v>
      </c>
      <c r="G72" s="8">
        <f t="shared" si="2"/>
        <v>72258077</v>
      </c>
    </row>
    <row r="73" spans="1:7" x14ac:dyDescent="0.2">
      <c r="A73" s="1">
        <v>45471</v>
      </c>
      <c r="C73" s="9">
        <v>935311</v>
      </c>
      <c r="F73" s="9">
        <v>71250060</v>
      </c>
      <c r="G73" s="8">
        <f t="shared" si="2"/>
        <v>72185371</v>
      </c>
    </row>
    <row r="74" spans="1:7" x14ac:dyDescent="0.2">
      <c r="A74" s="1">
        <v>45499</v>
      </c>
      <c r="C74" s="9">
        <v>935457</v>
      </c>
      <c r="F74" s="9">
        <v>70205580</v>
      </c>
      <c r="G74" s="8">
        <f t="shared" si="2"/>
        <v>71141037</v>
      </c>
    </row>
    <row r="75" spans="1:7" x14ac:dyDescent="0.2">
      <c r="A75" s="1">
        <v>45504</v>
      </c>
      <c r="C75" s="9">
        <v>936100</v>
      </c>
      <c r="F75" s="9">
        <v>70256580</v>
      </c>
      <c r="G75" s="8">
        <f t="shared" si="2"/>
        <v>71192680</v>
      </c>
    </row>
    <row r="76" spans="1:7" x14ac:dyDescent="0.2">
      <c r="A76" s="1">
        <v>45531</v>
      </c>
      <c r="C76" s="9">
        <v>935383</v>
      </c>
      <c r="F76" s="9">
        <v>70215780</v>
      </c>
      <c r="G76" s="8">
        <f t="shared" si="2"/>
        <v>71151163</v>
      </c>
    </row>
    <row r="77" spans="1:7" x14ac:dyDescent="0.2">
      <c r="A77" s="1">
        <v>45534</v>
      </c>
      <c r="C77" s="9">
        <v>935772</v>
      </c>
      <c r="F77" s="9">
        <v>70246380</v>
      </c>
      <c r="G77" s="8">
        <f t="shared" si="2"/>
        <v>71182152</v>
      </c>
    </row>
    <row r="78" spans="1:7" x14ac:dyDescent="0.2">
      <c r="A78" s="1">
        <v>45553</v>
      </c>
      <c r="C78" s="9">
        <v>935696</v>
      </c>
      <c r="F78" s="9">
        <v>70122960</v>
      </c>
      <c r="G78" s="8">
        <f t="shared" si="2"/>
        <v>71058656</v>
      </c>
    </row>
    <row r="79" spans="1:7" x14ac:dyDescent="0.2">
      <c r="A79" s="1">
        <v>45565</v>
      </c>
      <c r="C79" s="9">
        <v>935725</v>
      </c>
      <c r="F79" s="9">
        <v>70236180</v>
      </c>
      <c r="G79" s="8">
        <f t="shared" si="2"/>
        <v>71171905</v>
      </c>
    </row>
    <row r="80" spans="1:7" x14ac:dyDescent="0.2">
      <c r="A80" s="1">
        <v>45576</v>
      </c>
      <c r="C80" s="9">
        <v>935567</v>
      </c>
      <c r="F80" s="9">
        <v>70041360</v>
      </c>
      <c r="G80" s="8">
        <f t="shared" si="2"/>
        <v>70976927</v>
      </c>
    </row>
    <row r="81" spans="1:7" x14ac:dyDescent="0.2">
      <c r="A81" s="1">
        <v>45596</v>
      </c>
      <c r="C81" s="9">
        <v>935952</v>
      </c>
      <c r="F81" s="9">
        <v>68912220</v>
      </c>
      <c r="G81" s="8">
        <f t="shared" si="2"/>
        <v>69848172</v>
      </c>
    </row>
    <row r="82" spans="1:7" x14ac:dyDescent="0.2">
      <c r="A82" s="1">
        <v>45621</v>
      </c>
      <c r="C82" s="9">
        <v>935334</v>
      </c>
      <c r="F82" s="9">
        <v>68845920</v>
      </c>
      <c r="G82" s="8">
        <f t="shared" si="2"/>
        <v>69781254</v>
      </c>
    </row>
    <row r="83" spans="1:7" x14ac:dyDescent="0.2">
      <c r="A83" s="1">
        <v>45625</v>
      </c>
      <c r="C83" s="9">
        <v>935465</v>
      </c>
      <c r="F83" s="9">
        <v>68880600</v>
      </c>
      <c r="G83" s="8">
        <f t="shared" si="2"/>
        <v>69816065</v>
      </c>
    </row>
    <row r="84" spans="1:7" x14ac:dyDescent="0.2">
      <c r="A84" s="1">
        <v>45628</v>
      </c>
      <c r="C84" s="9">
        <v>935183</v>
      </c>
      <c r="F84" s="9">
        <v>68907120</v>
      </c>
      <c r="G84" s="8">
        <f t="shared" si="2"/>
        <v>69842303</v>
      </c>
    </row>
    <row r="85" spans="1:7" x14ac:dyDescent="0.2">
      <c r="A85" s="1">
        <v>45657</v>
      </c>
      <c r="C85" s="9">
        <v>936029</v>
      </c>
      <c r="F85" s="9">
        <v>68889780</v>
      </c>
      <c r="G85" s="8">
        <f t="shared" si="2"/>
        <v>69825809</v>
      </c>
    </row>
    <row r="86" spans="1:7" x14ac:dyDescent="0.2">
      <c r="A86" s="1">
        <v>45678</v>
      </c>
      <c r="C86" s="9">
        <v>936473</v>
      </c>
      <c r="F86" s="9">
        <v>59701000</v>
      </c>
      <c r="G86" s="8">
        <f t="shared" si="2"/>
        <v>60637473</v>
      </c>
    </row>
    <row r="87" spans="1:7" x14ac:dyDescent="0.2">
      <c r="A87" s="1">
        <v>45688</v>
      </c>
      <c r="C87" s="9">
        <v>936689</v>
      </c>
      <c r="F87" s="9">
        <v>59772000</v>
      </c>
      <c r="G87" s="8">
        <f t="shared" si="2"/>
        <v>60708689</v>
      </c>
    </row>
    <row r="88" spans="1:7" x14ac:dyDescent="0.2">
      <c r="A88" s="1">
        <v>45701</v>
      </c>
      <c r="C88" s="9">
        <v>936432</v>
      </c>
      <c r="F88" s="9">
        <v>59640000</v>
      </c>
      <c r="G88" s="8">
        <f t="shared" si="2"/>
        <v>60576432</v>
      </c>
    </row>
    <row r="89" spans="1:7" x14ac:dyDescent="0.2">
      <c r="A89" s="1">
        <v>45716</v>
      </c>
      <c r="C89" s="9">
        <v>936253</v>
      </c>
      <c r="F89" s="9">
        <v>59747000</v>
      </c>
      <c r="G89" s="8">
        <f t="shared" si="2"/>
        <v>60683253</v>
      </c>
    </row>
    <row r="90" spans="1:7" x14ac:dyDescent="0.2">
      <c r="A90" s="1">
        <v>45734</v>
      </c>
      <c r="C90" s="9">
        <v>3583598</v>
      </c>
      <c r="F90" s="9">
        <v>57028000</v>
      </c>
      <c r="G90" s="8">
        <f t="shared" si="2"/>
        <v>60611598</v>
      </c>
    </row>
    <row r="91" spans="1:7" x14ac:dyDescent="0.2">
      <c r="A91" s="1">
        <v>45747</v>
      </c>
      <c r="C91" s="9">
        <v>986725</v>
      </c>
      <c r="F91" s="9">
        <v>57116000</v>
      </c>
      <c r="G91" s="8">
        <f t="shared" si="2"/>
        <v>58102725</v>
      </c>
    </row>
    <row r="92" spans="1:7" x14ac:dyDescent="0.2">
      <c r="A92" s="1">
        <v>45757</v>
      </c>
      <c r="C92" s="9">
        <v>986381</v>
      </c>
      <c r="F92" s="9">
        <v>57185000</v>
      </c>
      <c r="G92" s="8">
        <f t="shared" si="2"/>
        <v>58171381</v>
      </c>
    </row>
    <row r="93" spans="1:7" x14ac:dyDescent="0.2">
      <c r="A93" s="1">
        <v>45777</v>
      </c>
      <c r="C93" s="9">
        <v>935387</v>
      </c>
      <c r="F93" s="9">
        <v>57055000</v>
      </c>
      <c r="G93" s="8">
        <f t="shared" si="2"/>
        <v>57990387</v>
      </c>
    </row>
    <row r="94" spans="1:7" x14ac:dyDescent="0.2">
      <c r="A94" s="1">
        <v>45785</v>
      </c>
      <c r="C94" s="9">
        <v>935503</v>
      </c>
      <c r="F94" s="9">
        <v>56905000</v>
      </c>
      <c r="G94" s="8">
        <f t="shared" si="2"/>
        <v>57840503</v>
      </c>
    </row>
    <row r="95" spans="1:7" x14ac:dyDescent="0.2">
      <c r="A95" s="1">
        <v>45807</v>
      </c>
      <c r="C95" s="9">
        <v>935535</v>
      </c>
      <c r="F95" s="9">
        <v>57053000</v>
      </c>
      <c r="G95" s="8">
        <f t="shared" si="2"/>
        <v>57988535</v>
      </c>
    </row>
    <row r="96" spans="1:7" x14ac:dyDescent="0.2">
      <c r="A96" s="1">
        <v>45817</v>
      </c>
      <c r="C96" s="9">
        <v>935335</v>
      </c>
      <c r="F96" s="9">
        <v>57121000</v>
      </c>
      <c r="G96" s="8">
        <f t="shared" si="2"/>
        <v>58056335</v>
      </c>
    </row>
    <row r="97" spans="1:7" x14ac:dyDescent="0.2">
      <c r="A97" s="1">
        <v>45838</v>
      </c>
      <c r="C97" s="9">
        <v>935798</v>
      </c>
      <c r="F97" s="9">
        <v>57060000</v>
      </c>
      <c r="G97" s="8">
        <f t="shared" si="2"/>
        <v>57995798</v>
      </c>
    </row>
    <row r="98" spans="1:7" x14ac:dyDescent="0.2">
      <c r="A98" s="1">
        <v>45846</v>
      </c>
      <c r="C98" s="9">
        <v>935739</v>
      </c>
      <c r="F98" s="9">
        <v>57115000</v>
      </c>
      <c r="G98" s="8">
        <f t="shared" si="2"/>
        <v>58050739</v>
      </c>
    </row>
    <row r="99" spans="1:7" x14ac:dyDescent="0.2">
      <c r="A99" s="1">
        <v>45869</v>
      </c>
      <c r="C99" s="9">
        <v>936611</v>
      </c>
      <c r="F99" s="9">
        <v>54288951</v>
      </c>
      <c r="G99" s="8">
        <f t="shared" si="2"/>
        <v>55225562</v>
      </c>
    </row>
    <row r="100" spans="1:7" x14ac:dyDescent="0.2">
      <c r="A100" s="1">
        <v>45876</v>
      </c>
      <c r="C100" s="9">
        <v>936880</v>
      </c>
      <c r="F100" s="9">
        <v>54334000</v>
      </c>
      <c r="G100" s="8">
        <f t="shared" si="2"/>
        <v>55270880</v>
      </c>
    </row>
    <row r="101" spans="1:7" x14ac:dyDescent="0.2">
      <c r="A101" s="1">
        <v>45898</v>
      </c>
      <c r="C101" s="9">
        <v>936377</v>
      </c>
      <c r="F101" s="9">
        <v>54271000</v>
      </c>
      <c r="G101" s="8">
        <f t="shared" si="2"/>
        <v>55207377</v>
      </c>
    </row>
    <row r="102" spans="1:7" x14ac:dyDescent="0.2">
      <c r="A102" s="1">
        <v>45908</v>
      </c>
      <c r="C102" s="9">
        <v>936729</v>
      </c>
      <c r="F102" s="9">
        <v>54336000</v>
      </c>
      <c r="G102" s="8">
        <f t="shared" si="2"/>
        <v>55272729</v>
      </c>
    </row>
    <row r="103" spans="1:7" x14ac:dyDescent="0.2">
      <c r="A103" s="1">
        <v>45930</v>
      </c>
      <c r="C103" s="9">
        <v>936257</v>
      </c>
      <c r="F103" s="9">
        <v>54275000</v>
      </c>
      <c r="G103" s="8">
        <f t="shared" si="2"/>
        <v>55211257</v>
      </c>
    </row>
    <row r="104" spans="1:7" x14ac:dyDescent="0.2">
      <c r="A104" s="1">
        <v>45940</v>
      </c>
      <c r="C104" s="9">
        <v>936239</v>
      </c>
      <c r="F104" s="9">
        <v>54337000</v>
      </c>
      <c r="G104" s="8">
        <f t="shared" si="2"/>
        <v>55273239</v>
      </c>
    </row>
    <row r="105" spans="1:7" x14ac:dyDescent="0.2">
      <c r="A105" s="1">
        <v>45961</v>
      </c>
      <c r="C105" s="9">
        <v>936237</v>
      </c>
      <c r="F105" s="9">
        <v>54277000</v>
      </c>
      <c r="G105" s="8">
        <f t="shared" si="2"/>
        <v>55213237</v>
      </c>
    </row>
    <row r="106" spans="1:7" x14ac:dyDescent="0.2">
      <c r="A106" s="1">
        <v>45971</v>
      </c>
      <c r="C106" s="9">
        <v>936133</v>
      </c>
      <c r="F106" s="9">
        <v>54144000</v>
      </c>
      <c r="G106" s="8">
        <f t="shared" si="2"/>
        <v>55080133</v>
      </c>
    </row>
    <row r="107" spans="1:7" x14ac:dyDescent="0.2">
      <c r="A107" s="1">
        <v>45989</v>
      </c>
      <c r="C107" s="9">
        <v>936137</v>
      </c>
      <c r="F107" s="9">
        <v>54250000</v>
      </c>
      <c r="G107" s="8">
        <f t="shared" si="2"/>
        <v>55186137</v>
      </c>
    </row>
    <row r="108" spans="1:7" x14ac:dyDescent="0.2">
      <c r="A108" s="1">
        <v>46008</v>
      </c>
      <c r="C108" s="9">
        <v>936875</v>
      </c>
      <c r="F108" s="9">
        <v>54181000</v>
      </c>
      <c r="G108" s="8">
        <f t="shared" si="2"/>
        <v>55117875</v>
      </c>
    </row>
    <row r="109" spans="1:7" x14ac:dyDescent="0.2">
      <c r="A109" s="1">
        <v>46022</v>
      </c>
      <c r="C109" s="9">
        <v>936830</v>
      </c>
      <c r="F109" s="9">
        <v>54258000</v>
      </c>
      <c r="G109" s="8">
        <f t="shared" si="2"/>
        <v>55194830</v>
      </c>
    </row>
  </sheetData>
  <sortState xmlns:xlrd2="http://schemas.microsoft.com/office/spreadsheetml/2017/richdata2" ref="A4:G16">
    <sortCondition ref="A4:A16"/>
  </sortState>
  <pageMargins left="0.7" right="0.7" top="0.75" bottom="0.75" header="0.3" footer="0.3"/>
  <pageSetup orientation="portrait" horizontalDpi="1200" verticalDpi="1200" r:id="rId1"/>
  <headerFooter>
    <oddHeader>&amp;L&amp;"Calibri"&amp;11&amp;K000000INTERNAL FR/OFFICIAL USE // FRSONLY&amp;1#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F629-9D48-4797-8FE9-B938A11BFAED}">
  <dimension ref="A1:H4"/>
  <sheetViews>
    <sheetView workbookViewId="0">
      <selection activeCell="A3" sqref="A3"/>
    </sheetView>
  </sheetViews>
  <sheetFormatPr defaultRowHeight="15" x14ac:dyDescent="0.2"/>
  <cols>
    <col min="1" max="1" width="33.77734375" bestFit="1" customWidth="1"/>
    <col min="3" max="3" width="12" bestFit="1" customWidth="1"/>
    <col min="5" max="5" width="13.5546875" bestFit="1" customWidth="1"/>
    <col min="6" max="6" width="13.21875" bestFit="1" customWidth="1"/>
    <col min="7" max="7" width="13.21875" customWidth="1"/>
  </cols>
  <sheetData>
    <row r="1" spans="1:8" x14ac:dyDescent="0.2">
      <c r="A1" t="s">
        <v>77</v>
      </c>
    </row>
    <row r="2" spans="1:8" x14ac:dyDescent="0.2">
      <c r="A2" s="1" t="s">
        <v>33</v>
      </c>
      <c r="B2" s="9" t="s">
        <v>78</v>
      </c>
      <c r="C2" s="9" t="s">
        <v>79</v>
      </c>
      <c r="D2" s="8" t="s">
        <v>16</v>
      </c>
      <c r="E2" s="8" t="s">
        <v>80</v>
      </c>
      <c r="F2" t="s">
        <v>47</v>
      </c>
      <c r="G2" t="s">
        <v>12</v>
      </c>
      <c r="H2" t="s">
        <v>20</v>
      </c>
    </row>
    <row r="3" spans="1:8" x14ac:dyDescent="0.2">
      <c r="A3" s="1">
        <v>46022</v>
      </c>
      <c r="B3" s="9">
        <v>0</v>
      </c>
      <c r="C3" s="9">
        <v>498724613</v>
      </c>
      <c r="D3" s="8">
        <v>0</v>
      </c>
      <c r="E3" s="8">
        <v>2814802204</v>
      </c>
      <c r="F3">
        <v>3313526817</v>
      </c>
      <c r="G3" s="8">
        <f>SUM(B3:E3)</f>
        <v>3313526817</v>
      </c>
      <c r="H3" t="b">
        <f>F3=G3</f>
        <v>1</v>
      </c>
    </row>
    <row r="4" spans="1:8" ht="15.75" x14ac:dyDescent="0.25">
      <c r="A4" s="19">
        <v>46008</v>
      </c>
      <c r="B4" s="12">
        <v>0</v>
      </c>
      <c r="C4" s="12">
        <v>409648303</v>
      </c>
      <c r="D4" s="8">
        <v>0</v>
      </c>
      <c r="E4" s="8">
        <v>2321340383</v>
      </c>
      <c r="F4">
        <v>2730988686</v>
      </c>
      <c r="G4" s="8">
        <f>SUM(B4:E4)</f>
        <v>2730988686</v>
      </c>
      <c r="H4" t="b">
        <f>F4=G4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4416-E85A-47E2-931B-BFC4671302CF}">
  <dimension ref="A1:G4"/>
  <sheetViews>
    <sheetView topLeftCell="B1" workbookViewId="0">
      <selection activeCell="A2" sqref="A2:H4"/>
    </sheetView>
  </sheetViews>
  <sheetFormatPr defaultRowHeight="15.75" x14ac:dyDescent="0.25"/>
  <cols>
    <col min="1" max="1" width="44.77734375" style="12" bestFit="1" customWidth="1"/>
    <col min="2" max="2" width="16.109375" style="12" bestFit="1" customWidth="1"/>
    <col min="3" max="4" width="13.109375" style="12" bestFit="1" customWidth="1"/>
    <col min="5" max="5" width="11" style="13" bestFit="1" customWidth="1"/>
  </cols>
  <sheetData>
    <row r="1" spans="1:7" ht="15" x14ac:dyDescent="0.2">
      <c r="A1" s="1" t="s">
        <v>74</v>
      </c>
      <c r="B1" s="8"/>
      <c r="C1" s="8"/>
      <c r="D1" s="8"/>
      <c r="E1" s="8"/>
    </row>
    <row r="2" spans="1:7" ht="15" x14ac:dyDescent="0.2">
      <c r="A2" s="1" t="s">
        <v>33</v>
      </c>
      <c r="B2" s="9" t="s">
        <v>32</v>
      </c>
      <c r="C2" s="9" t="s">
        <v>17</v>
      </c>
      <c r="D2" s="8" t="s">
        <v>16</v>
      </c>
      <c r="E2" s="8" t="s">
        <v>12</v>
      </c>
      <c r="F2" t="s">
        <v>47</v>
      </c>
      <c r="G2" t="s">
        <v>20</v>
      </c>
    </row>
    <row r="3" spans="1:7" ht="15" x14ac:dyDescent="0.2">
      <c r="A3" s="1">
        <v>46022</v>
      </c>
      <c r="B3" s="9">
        <v>13562000</v>
      </c>
      <c r="C3" s="9">
        <v>34061184</v>
      </c>
      <c r="D3" s="8">
        <v>0</v>
      </c>
      <c r="E3" s="8">
        <f t="shared" ref="E3:E4" si="0">SUM(B3:D3)</f>
        <v>47623184</v>
      </c>
      <c r="F3">
        <v>47623184</v>
      </c>
      <c r="G3" t="b">
        <f>E3=F3</f>
        <v>1</v>
      </c>
    </row>
    <row r="4" spans="1:7" x14ac:dyDescent="0.25">
      <c r="A4" s="19">
        <v>46008</v>
      </c>
      <c r="B4" s="12">
        <v>17538000</v>
      </c>
      <c r="C4" s="12">
        <v>34061097</v>
      </c>
      <c r="D4" s="8">
        <v>0</v>
      </c>
      <c r="E4" s="8">
        <f t="shared" si="0"/>
        <v>51599097</v>
      </c>
      <c r="F4">
        <v>51599097</v>
      </c>
      <c r="G4" t="b">
        <f>E4=F4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AAEC-5C12-43DD-B23E-967743122D25}">
  <dimension ref="A1:E64"/>
  <sheetViews>
    <sheetView topLeftCell="A31" zoomScale="60" zoomScaleNormal="60" workbookViewId="0">
      <selection activeCell="I14" sqref="H14:I14"/>
    </sheetView>
  </sheetViews>
  <sheetFormatPr defaultColWidth="8.88671875" defaultRowHeight="15" x14ac:dyDescent="0.25"/>
  <cols>
    <col min="1" max="1" width="44.77734375" style="12" bestFit="1" customWidth="1"/>
    <col min="2" max="2" width="16.109375" style="12" bestFit="1" customWidth="1"/>
    <col min="3" max="3" width="13.109375" style="12" bestFit="1" customWidth="1"/>
    <col min="4" max="4" width="14.88671875" style="12" bestFit="1" customWidth="1"/>
    <col min="5" max="5" width="15.33203125" style="13" bestFit="1" customWidth="1"/>
    <col min="6" max="16384" width="8.88671875" style="12"/>
  </cols>
  <sheetData>
    <row r="1" spans="1:5" customFormat="1" x14ac:dyDescent="0.2">
      <c r="A1" s="1" t="s">
        <v>34</v>
      </c>
      <c r="B1" s="8"/>
      <c r="C1" s="8"/>
      <c r="D1" s="8"/>
      <c r="E1" s="8"/>
    </row>
    <row r="2" spans="1:5" ht="15.75" x14ac:dyDescent="0.25">
      <c r="A2" s="1" t="s">
        <v>33</v>
      </c>
      <c r="B2" s="9" t="s">
        <v>32</v>
      </c>
      <c r="C2" s="9" t="s">
        <v>17</v>
      </c>
      <c r="D2" s="8" t="s">
        <v>16</v>
      </c>
      <c r="E2" s="8" t="s">
        <v>70</v>
      </c>
    </row>
    <row r="3" spans="1:5" ht="15.75" x14ac:dyDescent="0.25">
      <c r="A3" s="1">
        <v>45146</v>
      </c>
      <c r="B3" s="9">
        <v>26316069</v>
      </c>
      <c r="C3" s="9">
        <v>1119512</v>
      </c>
      <c r="D3" s="9"/>
      <c r="E3" s="9">
        <f>SUM(B3:D3)</f>
        <v>27435581</v>
      </c>
    </row>
    <row r="4" spans="1:5" ht="15.75" x14ac:dyDescent="0.25">
      <c r="A4" s="1">
        <v>45169</v>
      </c>
      <c r="B4" s="9">
        <v>43860001</v>
      </c>
      <c r="C4" s="9">
        <v>1501492</v>
      </c>
      <c r="D4" s="9"/>
      <c r="E4" s="9">
        <f t="shared" ref="E4:E37" si="0">SUM(B4:D4)</f>
        <v>45361493</v>
      </c>
    </row>
    <row r="5" spans="1:5" ht="15.75" x14ac:dyDescent="0.25">
      <c r="A5" s="1">
        <v>45187</v>
      </c>
      <c r="B5" s="9">
        <v>43860030</v>
      </c>
      <c r="C5" s="9">
        <v>1489745</v>
      </c>
      <c r="D5" s="9"/>
      <c r="E5" s="9">
        <f t="shared" si="0"/>
        <v>45349775</v>
      </c>
    </row>
    <row r="6" spans="1:5" ht="15.75" x14ac:dyDescent="0.25">
      <c r="A6" s="1">
        <v>45198</v>
      </c>
      <c r="B6" s="9">
        <v>95880104</v>
      </c>
      <c r="C6" s="9">
        <v>580728</v>
      </c>
      <c r="D6" s="9"/>
      <c r="E6" s="9">
        <f t="shared" si="0"/>
        <v>96460832</v>
      </c>
    </row>
    <row r="7" spans="1:5" ht="15.75" x14ac:dyDescent="0.25">
      <c r="A7" s="1">
        <v>45218</v>
      </c>
      <c r="B7" s="9">
        <v>133470089</v>
      </c>
      <c r="C7" s="9">
        <v>601</v>
      </c>
      <c r="D7" s="9"/>
      <c r="E7" s="9">
        <f t="shared" si="0"/>
        <v>133470690</v>
      </c>
    </row>
    <row r="8" spans="1:5" ht="15.75" x14ac:dyDescent="0.25">
      <c r="A8" s="1">
        <v>45230</v>
      </c>
      <c r="B8" s="9">
        <v>162719629</v>
      </c>
      <c r="C8" s="9">
        <v>2365</v>
      </c>
      <c r="D8" s="9"/>
      <c r="E8" s="9">
        <f t="shared" si="0"/>
        <v>162721994</v>
      </c>
    </row>
    <row r="9" spans="1:5" ht="15.75" x14ac:dyDescent="0.25">
      <c r="A9" s="1">
        <v>45250</v>
      </c>
      <c r="B9" s="9">
        <v>157508405</v>
      </c>
      <c r="C9" s="9">
        <v>4000085</v>
      </c>
      <c r="D9" s="9"/>
      <c r="E9" s="9">
        <f t="shared" si="0"/>
        <v>161508490</v>
      </c>
    </row>
    <row r="10" spans="1:5" ht="15.75" x14ac:dyDescent="0.25">
      <c r="A10" s="1">
        <v>45260</v>
      </c>
      <c r="B10" s="9">
        <v>160590905</v>
      </c>
      <c r="C10" s="9">
        <v>2293</v>
      </c>
      <c r="D10" s="9"/>
      <c r="E10" s="9">
        <f t="shared" si="0"/>
        <v>160593198</v>
      </c>
    </row>
    <row r="11" spans="1:5" ht="15.75" x14ac:dyDescent="0.25">
      <c r="A11" s="1">
        <v>45287</v>
      </c>
      <c r="B11" s="9">
        <v>271162025</v>
      </c>
      <c r="C11" s="9">
        <v>1022959</v>
      </c>
      <c r="D11" s="9"/>
      <c r="E11" s="9">
        <f t="shared" si="0"/>
        <v>272184984</v>
      </c>
    </row>
    <row r="12" spans="1:5" ht="15.75" x14ac:dyDescent="0.25">
      <c r="A12" s="1">
        <v>45289</v>
      </c>
      <c r="B12" s="9">
        <v>270270484</v>
      </c>
      <c r="C12" s="9">
        <v>461408</v>
      </c>
      <c r="D12" s="9"/>
      <c r="E12" s="9">
        <f t="shared" si="0"/>
        <v>270731892</v>
      </c>
    </row>
    <row r="13" spans="1:5" ht="15.75" x14ac:dyDescent="0.25">
      <c r="A13" s="1">
        <v>45303</v>
      </c>
      <c r="B13" s="9">
        <v>294700498</v>
      </c>
      <c r="C13" s="9">
        <v>1581175</v>
      </c>
      <c r="D13" s="9">
        <v>4966450</v>
      </c>
      <c r="E13" s="9">
        <f t="shared" si="0"/>
        <v>301248123</v>
      </c>
    </row>
    <row r="14" spans="1:5" ht="15.75" x14ac:dyDescent="0.25">
      <c r="A14" s="1">
        <v>45322</v>
      </c>
      <c r="B14" s="9">
        <v>303541803</v>
      </c>
      <c r="C14" s="9">
        <v>1520</v>
      </c>
      <c r="D14" s="9">
        <v>4980250</v>
      </c>
      <c r="E14" s="9">
        <f t="shared" si="0"/>
        <v>308523573</v>
      </c>
    </row>
    <row r="15" spans="1:5" ht="15.75" x14ac:dyDescent="0.25">
      <c r="A15" s="1">
        <v>45327</v>
      </c>
      <c r="B15" s="9">
        <v>303765278</v>
      </c>
      <c r="C15" s="9">
        <v>1210</v>
      </c>
      <c r="D15" s="9">
        <v>4984650</v>
      </c>
      <c r="E15" s="9">
        <f t="shared" si="0"/>
        <v>308751138</v>
      </c>
    </row>
    <row r="16" spans="1:5" ht="15.75" x14ac:dyDescent="0.25">
      <c r="A16" s="1">
        <v>45351</v>
      </c>
      <c r="B16" s="9">
        <v>311025637</v>
      </c>
      <c r="C16" s="9">
        <v>813277</v>
      </c>
      <c r="D16" s="9"/>
      <c r="E16" s="9">
        <f t="shared" si="0"/>
        <v>311838914</v>
      </c>
    </row>
    <row r="17" spans="1:5" ht="15.75" x14ac:dyDescent="0.25">
      <c r="A17" s="1">
        <v>45363</v>
      </c>
      <c r="B17" s="9">
        <v>211826556</v>
      </c>
      <c r="C17" s="9">
        <v>1657</v>
      </c>
      <c r="D17" s="9">
        <v>14829900</v>
      </c>
      <c r="E17" s="9">
        <f t="shared" si="0"/>
        <v>226658113</v>
      </c>
    </row>
    <row r="18" spans="1:5" ht="15.75" x14ac:dyDescent="0.25">
      <c r="A18" s="1">
        <v>45380</v>
      </c>
      <c r="B18" s="9">
        <v>177991076</v>
      </c>
      <c r="C18" s="9">
        <v>1552</v>
      </c>
      <c r="D18" s="9">
        <v>14870700</v>
      </c>
      <c r="E18" s="9">
        <f t="shared" si="0"/>
        <v>192863328</v>
      </c>
    </row>
    <row r="19" spans="1:5" ht="15.75" x14ac:dyDescent="0.25">
      <c r="A19" s="1">
        <v>45386</v>
      </c>
      <c r="B19" s="9">
        <v>192180240</v>
      </c>
      <c r="C19" s="9">
        <v>1881</v>
      </c>
      <c r="D19" s="9">
        <v>14918700</v>
      </c>
      <c r="E19" s="9">
        <f t="shared" si="0"/>
        <v>207100821</v>
      </c>
    </row>
    <row r="20" spans="1:5" ht="15.75" x14ac:dyDescent="0.25">
      <c r="A20" s="1">
        <v>45412</v>
      </c>
      <c r="B20" s="9">
        <v>320414640</v>
      </c>
      <c r="C20" s="9">
        <v>1121</v>
      </c>
      <c r="D20" s="9">
        <v>14936250</v>
      </c>
      <c r="E20" s="9">
        <f t="shared" si="0"/>
        <v>335352011</v>
      </c>
    </row>
    <row r="21" spans="1:5" ht="15.75" x14ac:dyDescent="0.25">
      <c r="A21" s="1">
        <v>45428</v>
      </c>
      <c r="B21" s="9">
        <v>377839620</v>
      </c>
      <c r="C21" s="9">
        <v>957</v>
      </c>
      <c r="D21" s="9">
        <v>29607000</v>
      </c>
      <c r="E21" s="9">
        <f t="shared" si="0"/>
        <v>407447577</v>
      </c>
    </row>
    <row r="22" spans="1:5" ht="15.75" x14ac:dyDescent="0.25">
      <c r="A22" s="1">
        <v>45443</v>
      </c>
      <c r="B22" s="9">
        <v>424567860</v>
      </c>
      <c r="C22" s="9">
        <v>1318</v>
      </c>
      <c r="D22" s="9">
        <v>29682100</v>
      </c>
      <c r="E22" s="9">
        <f t="shared" si="0"/>
        <v>454251278</v>
      </c>
    </row>
    <row r="23" spans="1:5" ht="15.75" x14ac:dyDescent="0.25">
      <c r="A23" s="1">
        <v>45447</v>
      </c>
      <c r="B23" s="9">
        <v>424817760</v>
      </c>
      <c r="C23" s="9">
        <v>2466</v>
      </c>
      <c r="D23" s="9">
        <v>29689500</v>
      </c>
      <c r="E23" s="9">
        <f t="shared" si="0"/>
        <v>454509726</v>
      </c>
    </row>
    <row r="24" spans="1:5" ht="15.75" x14ac:dyDescent="0.25">
      <c r="A24" s="1">
        <v>45471</v>
      </c>
      <c r="B24" s="9">
        <v>450447300</v>
      </c>
      <c r="C24" s="9">
        <v>10205906</v>
      </c>
      <c r="D24" s="9">
        <v>49550900</v>
      </c>
      <c r="E24" s="9">
        <f t="shared" si="0"/>
        <v>510204106</v>
      </c>
    </row>
    <row r="25" spans="1:5" ht="15.75" x14ac:dyDescent="0.25">
      <c r="A25" s="1">
        <v>45499</v>
      </c>
      <c r="B25" s="9">
        <v>513035520</v>
      </c>
      <c r="C25" s="9">
        <v>5004526</v>
      </c>
      <c r="D25" s="9">
        <v>81417500</v>
      </c>
      <c r="E25" s="9">
        <f t="shared" si="0"/>
        <v>599457546</v>
      </c>
    </row>
    <row r="26" spans="1:5" ht="15.75" x14ac:dyDescent="0.25">
      <c r="A26" s="1">
        <v>45504</v>
      </c>
      <c r="B26" s="9">
        <v>552487080</v>
      </c>
      <c r="C26" s="9">
        <v>5004980</v>
      </c>
      <c r="D26" s="9">
        <v>81453620</v>
      </c>
      <c r="E26" s="9">
        <f t="shared" si="0"/>
        <v>638945680</v>
      </c>
    </row>
    <row r="27" spans="1:5" ht="15.75" x14ac:dyDescent="0.25">
      <c r="A27" s="1">
        <v>45531</v>
      </c>
      <c r="B27" s="9">
        <v>866811300</v>
      </c>
      <c r="C27" s="9">
        <v>13576374</v>
      </c>
      <c r="D27" s="9">
        <v>148886840</v>
      </c>
      <c r="E27" s="9">
        <f t="shared" si="0"/>
        <v>1029274514</v>
      </c>
    </row>
    <row r="28" spans="1:5" ht="15.75" x14ac:dyDescent="0.25">
      <c r="A28" s="1">
        <v>45534</v>
      </c>
      <c r="B28" s="9">
        <v>619325620</v>
      </c>
      <c r="C28" s="9">
        <v>156006043</v>
      </c>
      <c r="D28" s="9">
        <v>147017480</v>
      </c>
      <c r="E28" s="9">
        <f t="shared" si="0"/>
        <v>922349143</v>
      </c>
    </row>
    <row r="29" spans="1:5" ht="15.75" x14ac:dyDescent="0.25">
      <c r="A29" s="1">
        <v>45553</v>
      </c>
      <c r="B29" s="9">
        <v>575723700</v>
      </c>
      <c r="C29" s="9">
        <v>11019925</v>
      </c>
      <c r="D29" s="9">
        <v>149400880</v>
      </c>
      <c r="E29" s="9">
        <f t="shared" si="0"/>
        <v>736144505</v>
      </c>
    </row>
    <row r="30" spans="1:5" ht="15.75" x14ac:dyDescent="0.25">
      <c r="A30" s="1">
        <v>45565</v>
      </c>
      <c r="B30" s="9">
        <v>585329040</v>
      </c>
      <c r="C30" s="9">
        <v>23224383</v>
      </c>
      <c r="D30" s="9">
        <v>111598980</v>
      </c>
      <c r="E30" s="9">
        <f t="shared" si="0"/>
        <v>720152403</v>
      </c>
    </row>
    <row r="31" spans="1:5" ht="15.75" x14ac:dyDescent="0.25">
      <c r="A31" s="1">
        <v>45576</v>
      </c>
      <c r="B31" s="9">
        <v>556631340</v>
      </c>
      <c r="C31" s="9">
        <v>51706508</v>
      </c>
      <c r="D31" s="9">
        <v>79777500</v>
      </c>
      <c r="E31" s="9">
        <f t="shared" si="0"/>
        <v>688115348</v>
      </c>
    </row>
    <row r="32" spans="1:5" ht="15.75" x14ac:dyDescent="0.25">
      <c r="A32" s="1">
        <v>45596</v>
      </c>
      <c r="B32" s="9">
        <v>485762760</v>
      </c>
      <c r="C32" s="9">
        <v>18199419</v>
      </c>
      <c r="D32" s="9">
        <v>79829400</v>
      </c>
      <c r="E32" s="9">
        <f t="shared" si="0"/>
        <v>583791579</v>
      </c>
    </row>
    <row r="33" spans="1:5" ht="15.75" x14ac:dyDescent="0.25">
      <c r="A33" s="1">
        <v>45621</v>
      </c>
      <c r="B33" s="9">
        <v>566855820</v>
      </c>
      <c r="C33" s="9">
        <v>13163018</v>
      </c>
      <c r="D33" s="9"/>
      <c r="E33" s="9">
        <f t="shared" si="0"/>
        <v>580018838</v>
      </c>
    </row>
    <row r="34" spans="1:5" ht="15.75" x14ac:dyDescent="0.25">
      <c r="A34" s="1">
        <v>45625</v>
      </c>
      <c r="B34" s="9">
        <v>450079080</v>
      </c>
      <c r="C34" s="9">
        <v>26274834</v>
      </c>
      <c r="D34" s="9">
        <v>74791500</v>
      </c>
      <c r="E34" s="9">
        <f t="shared" si="0"/>
        <v>551145414</v>
      </c>
    </row>
    <row r="35" spans="1:5" ht="15.75" x14ac:dyDescent="0.25">
      <c r="A35" s="1">
        <v>45628</v>
      </c>
      <c r="B35" s="9">
        <v>399256650</v>
      </c>
      <c r="C35" s="9">
        <v>21041319</v>
      </c>
      <c r="D35" s="9">
        <v>74735167</v>
      </c>
      <c r="E35" s="9">
        <f t="shared" si="0"/>
        <v>495033136</v>
      </c>
    </row>
    <row r="36" spans="1:5" ht="15.75" x14ac:dyDescent="0.25">
      <c r="A36" s="1">
        <v>45657</v>
      </c>
      <c r="B36" s="9">
        <v>487993500</v>
      </c>
      <c r="C36" s="9">
        <v>21402338</v>
      </c>
      <c r="D36" s="9"/>
      <c r="E36" s="9">
        <f t="shared" si="0"/>
        <v>509395838</v>
      </c>
    </row>
    <row r="37" spans="1:5" ht="15.75" x14ac:dyDescent="0.25">
      <c r="A37" s="1">
        <v>45678</v>
      </c>
      <c r="B37" s="9">
        <v>485299000</v>
      </c>
      <c r="C37" s="9">
        <v>26489197</v>
      </c>
      <c r="D37" s="9"/>
      <c r="E37" s="9">
        <f t="shared" si="0"/>
        <v>511788197</v>
      </c>
    </row>
    <row r="38" spans="1:5" ht="15.75" x14ac:dyDescent="0.25">
      <c r="A38" s="1">
        <v>45688</v>
      </c>
      <c r="B38" s="9">
        <v>455868000</v>
      </c>
      <c r="C38" s="9">
        <v>28588701</v>
      </c>
      <c r="D38" s="9"/>
      <c r="E38" s="9">
        <f>SUM(B38:D38)</f>
        <v>484456701</v>
      </c>
    </row>
    <row r="39" spans="1:5" ht="15.75" x14ac:dyDescent="0.25">
      <c r="A39" s="1">
        <v>45701</v>
      </c>
      <c r="B39" s="9">
        <v>589905000</v>
      </c>
      <c r="C39" s="9">
        <v>28550536</v>
      </c>
      <c r="D39" s="9"/>
      <c r="E39" s="9">
        <f t="shared" ref="E39:E63" si="1">SUM(B39:D39)</f>
        <v>618455536</v>
      </c>
    </row>
    <row r="40" spans="1:5" ht="15.75" x14ac:dyDescent="0.25">
      <c r="A40" s="1">
        <v>45716</v>
      </c>
      <c r="B40" s="9">
        <v>729955000</v>
      </c>
      <c r="C40" s="9">
        <v>23589744</v>
      </c>
      <c r="D40" s="9"/>
      <c r="E40" s="9">
        <f t="shared" si="1"/>
        <v>753544744</v>
      </c>
    </row>
    <row r="41" spans="1:5" ht="15.75" x14ac:dyDescent="0.25">
      <c r="A41" s="1">
        <v>45734</v>
      </c>
      <c r="B41" s="9">
        <v>736245917</v>
      </c>
      <c r="C41" s="9">
        <v>26727917</v>
      </c>
      <c r="D41" s="9"/>
      <c r="E41" s="9">
        <f t="shared" si="1"/>
        <v>762973834</v>
      </c>
    </row>
    <row r="42" spans="1:5" ht="15.75" x14ac:dyDescent="0.25">
      <c r="A42" s="1">
        <v>45747</v>
      </c>
      <c r="B42" s="9">
        <v>729349000</v>
      </c>
      <c r="C42" s="9">
        <v>18148074</v>
      </c>
      <c r="D42" s="9"/>
      <c r="E42" s="9">
        <f t="shared" si="1"/>
        <v>747497074</v>
      </c>
    </row>
    <row r="43" spans="1:5" ht="15.75" x14ac:dyDescent="0.25">
      <c r="A43" s="1">
        <v>45757</v>
      </c>
      <c r="B43" s="9">
        <v>791216000</v>
      </c>
      <c r="C43" s="9">
        <v>22571542</v>
      </c>
      <c r="D43" s="9"/>
      <c r="E43" s="9">
        <f t="shared" si="1"/>
        <v>813787542</v>
      </c>
    </row>
    <row r="44" spans="1:5" ht="15.75" x14ac:dyDescent="0.25">
      <c r="A44" s="1">
        <v>45777</v>
      </c>
      <c r="B44" s="9">
        <v>865610000</v>
      </c>
      <c r="C44" s="9">
        <v>24896892</v>
      </c>
      <c r="D44" s="9"/>
      <c r="E44" s="9">
        <f t="shared" si="1"/>
        <v>890506892</v>
      </c>
    </row>
    <row r="45" spans="1:5" ht="15.75" x14ac:dyDescent="0.25">
      <c r="A45" s="1">
        <v>45785</v>
      </c>
      <c r="B45" s="9">
        <v>842605000</v>
      </c>
      <c r="C45" s="9">
        <v>28739019</v>
      </c>
      <c r="D45" s="9"/>
      <c r="E45" s="9">
        <f t="shared" si="1"/>
        <v>871344019</v>
      </c>
    </row>
    <row r="46" spans="1:5" ht="15.75" x14ac:dyDescent="0.25">
      <c r="A46" s="1">
        <v>45807</v>
      </c>
      <c r="B46" s="9">
        <v>864661000</v>
      </c>
      <c r="C46" s="9">
        <v>44918635</v>
      </c>
      <c r="D46" s="9"/>
      <c r="E46" s="9">
        <f t="shared" si="1"/>
        <v>909579635</v>
      </c>
    </row>
    <row r="47" spans="1:5" ht="15.75" x14ac:dyDescent="0.25">
      <c r="A47" s="1">
        <v>45817</v>
      </c>
      <c r="B47" s="9">
        <v>932766000</v>
      </c>
      <c r="C47" s="9">
        <v>69193216</v>
      </c>
      <c r="D47" s="9"/>
      <c r="E47" s="9">
        <f t="shared" si="1"/>
        <v>1001959216</v>
      </c>
    </row>
    <row r="48" spans="1:5" ht="15.75" x14ac:dyDescent="0.25">
      <c r="A48" s="1">
        <v>45838</v>
      </c>
      <c r="B48" s="9">
        <v>929011000</v>
      </c>
      <c r="C48" s="9">
        <v>24673788</v>
      </c>
      <c r="D48" s="9"/>
      <c r="E48" s="9">
        <f t="shared" si="1"/>
        <v>953684788</v>
      </c>
    </row>
    <row r="49" spans="1:5" ht="15.75" x14ac:dyDescent="0.25">
      <c r="A49" s="1">
        <v>45846</v>
      </c>
      <c r="B49" s="9">
        <v>845607000</v>
      </c>
      <c r="C49" s="9">
        <v>45245832</v>
      </c>
      <c r="D49" s="9"/>
      <c r="E49" s="9">
        <f t="shared" si="1"/>
        <v>890852832</v>
      </c>
    </row>
    <row r="50" spans="1:5" ht="15.75" x14ac:dyDescent="0.25">
      <c r="A50" s="1">
        <v>45851</v>
      </c>
      <c r="B50" s="9">
        <v>1013469049</v>
      </c>
      <c r="C50" s="9">
        <v>26662365</v>
      </c>
      <c r="D50" s="9"/>
      <c r="E50" s="9">
        <f t="shared" si="1"/>
        <v>1040131414</v>
      </c>
    </row>
    <row r="51" spans="1:5" ht="15.75" x14ac:dyDescent="0.25">
      <c r="A51" s="1">
        <v>45876</v>
      </c>
      <c r="B51" s="9">
        <v>919891000</v>
      </c>
      <c r="C51" s="9">
        <v>31411501</v>
      </c>
      <c r="D51" s="9">
        <v>74400000</v>
      </c>
      <c r="E51" s="9">
        <f t="shared" si="1"/>
        <v>1025702501</v>
      </c>
    </row>
    <row r="52" spans="1:5" ht="15.75" x14ac:dyDescent="0.25">
      <c r="A52" s="1">
        <v>45898</v>
      </c>
      <c r="B52" s="9">
        <v>954338000</v>
      </c>
      <c r="C52" s="9">
        <v>45242198</v>
      </c>
      <c r="D52" s="9">
        <v>173803000</v>
      </c>
      <c r="E52" s="9">
        <f t="shared" si="1"/>
        <v>1173383198</v>
      </c>
    </row>
    <row r="53" spans="1:5" ht="15.75" x14ac:dyDescent="0.25">
      <c r="A53" s="1">
        <v>45908</v>
      </c>
      <c r="B53" s="9">
        <v>960496000</v>
      </c>
      <c r="C53" s="9">
        <v>45476841</v>
      </c>
      <c r="D53" s="9">
        <v>173972750</v>
      </c>
      <c r="E53" s="9">
        <f t="shared" si="1"/>
        <v>1179945591</v>
      </c>
    </row>
    <row r="54" spans="1:5" ht="15.75" x14ac:dyDescent="0.25">
      <c r="A54" s="1">
        <v>45930</v>
      </c>
      <c r="B54" s="9">
        <v>2218270000</v>
      </c>
      <c r="C54" s="9">
        <v>45214300</v>
      </c>
      <c r="D54" s="9">
        <v>174393250</v>
      </c>
      <c r="E54" s="9">
        <f t="shared" si="1"/>
        <v>2437877550</v>
      </c>
    </row>
    <row r="55" spans="1:5" ht="16.5" customHeight="1" x14ac:dyDescent="0.25">
      <c r="A55" s="1">
        <v>45940</v>
      </c>
      <c r="B55" s="9">
        <v>2319884000</v>
      </c>
      <c r="C55" s="9">
        <v>61468750</v>
      </c>
      <c r="D55" s="9">
        <v>174650500</v>
      </c>
      <c r="E55" s="9">
        <f t="shared" si="1"/>
        <v>2556003250</v>
      </c>
    </row>
    <row r="56" spans="1:5" ht="14.1" customHeight="1" x14ac:dyDescent="0.25">
      <c r="A56" s="1">
        <v>45945</v>
      </c>
      <c r="B56" s="9">
        <v>1875769000</v>
      </c>
      <c r="C56" s="9">
        <v>602271424</v>
      </c>
      <c r="D56" s="9">
        <v>174688000</v>
      </c>
      <c r="E56" s="9">
        <f t="shared" si="1"/>
        <v>2652728424</v>
      </c>
    </row>
    <row r="57" spans="1:5" s="1" customFormat="1" x14ac:dyDescent="0.2">
      <c r="A57" s="1">
        <v>45961</v>
      </c>
      <c r="B57" s="9">
        <v>2675270000</v>
      </c>
      <c r="C57" s="9">
        <v>48507867</v>
      </c>
      <c r="D57" s="9">
        <v>100891920</v>
      </c>
      <c r="E57" s="9">
        <f t="shared" si="1"/>
        <v>2824669787</v>
      </c>
    </row>
    <row r="58" spans="1:5" ht="15.75" x14ac:dyDescent="0.25">
      <c r="A58" s="1">
        <v>45971</v>
      </c>
      <c r="B58" s="9">
        <v>2955915000</v>
      </c>
      <c r="C58" s="9">
        <v>73538718</v>
      </c>
      <c r="D58" s="9">
        <v>100988890</v>
      </c>
      <c r="E58" s="9">
        <f t="shared" si="1"/>
        <v>3130442608</v>
      </c>
    </row>
    <row r="59" spans="1:5" ht="14.1" customHeight="1" x14ac:dyDescent="0.25">
      <c r="A59" s="1">
        <v>45989</v>
      </c>
      <c r="B59" s="9">
        <v>3297460000</v>
      </c>
      <c r="C59" s="9">
        <v>63322885</v>
      </c>
      <c r="D59" s="9">
        <v>497332500</v>
      </c>
      <c r="E59" s="9">
        <f t="shared" si="1"/>
        <v>3858115385</v>
      </c>
    </row>
    <row r="60" spans="1:5" ht="14.1" customHeight="1" x14ac:dyDescent="0.25">
      <c r="A60" s="1">
        <v>46008</v>
      </c>
      <c r="B60" s="9">
        <v>3332568000</v>
      </c>
      <c r="C60" s="9">
        <v>42651864</v>
      </c>
      <c r="D60" s="9">
        <v>499310610</v>
      </c>
      <c r="E60" s="9">
        <f t="shared" si="1"/>
        <v>3874530474</v>
      </c>
    </row>
    <row r="61" spans="1:5" ht="14.1" customHeight="1" x14ac:dyDescent="0.25">
      <c r="A61" s="1">
        <v>46022</v>
      </c>
      <c r="B61" s="9">
        <v>2917823000</v>
      </c>
      <c r="C61" s="9">
        <v>75288207</v>
      </c>
      <c r="D61" s="9">
        <v>624419620</v>
      </c>
      <c r="E61" s="9">
        <f t="shared" si="1"/>
        <v>3617530827</v>
      </c>
    </row>
    <row r="62" spans="1:5" ht="15.75" x14ac:dyDescent="0.25">
      <c r="A62" s="1">
        <v>46038</v>
      </c>
      <c r="B62" s="9">
        <v>3268890000</v>
      </c>
      <c r="C62" s="9">
        <v>71279068</v>
      </c>
      <c r="D62" s="9">
        <v>374170000</v>
      </c>
      <c r="E62" s="9">
        <f t="shared" si="1"/>
        <v>3714339068</v>
      </c>
    </row>
    <row r="63" spans="1:5" ht="15.75" x14ac:dyDescent="0.25">
      <c r="A63" s="1">
        <v>46052</v>
      </c>
      <c r="B63" s="9">
        <v>3118089000</v>
      </c>
      <c r="C63" s="9">
        <v>129407459</v>
      </c>
      <c r="D63" s="9">
        <v>374648750</v>
      </c>
      <c r="E63" s="9">
        <f t="shared" si="1"/>
        <v>3622145209</v>
      </c>
    </row>
    <row r="64" spans="1:5" ht="15.75" x14ac:dyDescent="0.25">
      <c r="B64" s="9"/>
      <c r="C64" s="9"/>
      <c r="D64" s="9"/>
      <c r="E64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5999-C523-40D5-A6BD-99E49B59764F}">
  <dimension ref="A1:M30"/>
  <sheetViews>
    <sheetView zoomScale="70" zoomScaleNormal="70" workbookViewId="0">
      <selection activeCell="O29" sqref="O29"/>
    </sheetView>
  </sheetViews>
  <sheetFormatPr defaultColWidth="34.88671875" defaultRowHeight="15" x14ac:dyDescent="0.2"/>
  <sheetData>
    <row r="1" spans="1:13" x14ac:dyDescent="0.2">
      <c r="A1" s="17" t="s">
        <v>50</v>
      </c>
    </row>
    <row r="2" spans="1:13" x14ac:dyDescent="0.2">
      <c r="A2" t="s">
        <v>38</v>
      </c>
      <c r="B2" t="s">
        <v>44</v>
      </c>
      <c r="C2" t="s">
        <v>45</v>
      </c>
      <c r="D2" s="8" t="s">
        <v>46</v>
      </c>
      <c r="E2" s="8" t="s">
        <v>47</v>
      </c>
      <c r="F2" s="1" t="s">
        <v>39</v>
      </c>
      <c r="G2" s="9" t="s">
        <v>40</v>
      </c>
      <c r="H2" s="9" t="s">
        <v>41</v>
      </c>
      <c r="I2" s="8" t="s">
        <v>42</v>
      </c>
      <c r="J2" s="8" t="s">
        <v>48</v>
      </c>
      <c r="K2" s="1" t="s">
        <v>49</v>
      </c>
      <c r="L2" s="9" t="s">
        <v>43</v>
      </c>
      <c r="M2" t="s">
        <v>20</v>
      </c>
    </row>
    <row r="3" spans="1:13" x14ac:dyDescent="0.2">
      <c r="A3" s="1">
        <v>45627</v>
      </c>
      <c r="B3" s="1">
        <v>45646</v>
      </c>
      <c r="C3" s="1">
        <v>45680</v>
      </c>
      <c r="D3" s="8">
        <v>72300301</v>
      </c>
      <c r="E3" s="8">
        <v>78212154</v>
      </c>
      <c r="F3" s="8">
        <v>27561764</v>
      </c>
      <c r="G3" s="9">
        <v>27544644</v>
      </c>
      <c r="H3" s="9">
        <v>23051803</v>
      </c>
      <c r="I3" s="8">
        <v>53943</v>
      </c>
      <c r="J3" s="8">
        <v>5911853</v>
      </c>
      <c r="K3" s="16">
        <v>8.18</v>
      </c>
      <c r="L3" s="9">
        <v>0</v>
      </c>
      <c r="M3" t="b" cm="1">
        <f t="array" ref="M3">SUM(F3:I3+L3)=E3</f>
        <v>1</v>
      </c>
    </row>
    <row r="4" spans="1:13" x14ac:dyDescent="0.2">
      <c r="A4" s="1">
        <v>45627</v>
      </c>
      <c r="B4" s="1">
        <v>45657</v>
      </c>
      <c r="C4" s="1">
        <v>45680</v>
      </c>
      <c r="D4" s="8">
        <v>77208201</v>
      </c>
      <c r="E4" s="8">
        <v>83214671</v>
      </c>
      <c r="F4" s="8">
        <v>30095603</v>
      </c>
      <c r="G4" s="9">
        <v>30119460</v>
      </c>
      <c r="H4" s="9">
        <v>22978696</v>
      </c>
      <c r="I4" s="8">
        <v>20912</v>
      </c>
      <c r="J4" s="8">
        <v>6006470</v>
      </c>
      <c r="K4" s="16">
        <v>7.78</v>
      </c>
      <c r="L4" s="9">
        <v>0</v>
      </c>
      <c r="M4" t="b" cm="1">
        <f t="array" ref="M4">SUM(F4:I4+L4)=E4</f>
        <v>1</v>
      </c>
    </row>
    <row r="5" spans="1:13" x14ac:dyDescent="0.2">
      <c r="A5" s="1">
        <v>45658</v>
      </c>
      <c r="B5" s="1">
        <v>45681</v>
      </c>
      <c r="C5" s="1">
        <v>45709</v>
      </c>
      <c r="D5" s="8">
        <v>98697217</v>
      </c>
      <c r="E5" s="8">
        <v>105339523</v>
      </c>
      <c r="F5" s="8">
        <v>39456447</v>
      </c>
      <c r="G5" s="9">
        <v>39367111</v>
      </c>
      <c r="H5" s="9">
        <v>26420357</v>
      </c>
      <c r="I5" s="8">
        <v>95608</v>
      </c>
      <c r="J5" s="8">
        <v>6642306</v>
      </c>
      <c r="K5" s="16">
        <v>6.73</v>
      </c>
      <c r="L5" s="9">
        <v>0</v>
      </c>
      <c r="M5" t="b" cm="1">
        <f t="array" ref="M5">SUM(F5:I5+L5)=E5</f>
        <v>1</v>
      </c>
    </row>
    <row r="6" spans="1:13" x14ac:dyDescent="0.2">
      <c r="A6" s="1">
        <v>45658</v>
      </c>
      <c r="B6" s="1">
        <v>45688</v>
      </c>
      <c r="C6" s="1">
        <v>45709</v>
      </c>
      <c r="D6" s="8">
        <v>106666737</v>
      </c>
      <c r="E6" s="8">
        <v>115373144</v>
      </c>
      <c r="F6" s="8">
        <v>41980260</v>
      </c>
      <c r="G6" s="9">
        <v>41993466</v>
      </c>
      <c r="H6" s="9">
        <v>31389878</v>
      </c>
      <c r="I6" s="8">
        <v>9540</v>
      </c>
      <c r="J6" s="8">
        <v>8706407</v>
      </c>
      <c r="K6" s="16">
        <v>8.16</v>
      </c>
      <c r="L6" s="9">
        <v>0</v>
      </c>
      <c r="M6" t="b" cm="1">
        <f t="array" ref="M6">SUM(F6:I6+L6)=E6</f>
        <v>1</v>
      </c>
    </row>
    <row r="7" spans="1:13" x14ac:dyDescent="0.2">
      <c r="A7" s="1">
        <v>45689</v>
      </c>
      <c r="B7" s="1">
        <v>45693</v>
      </c>
      <c r="C7" s="1">
        <v>45737</v>
      </c>
      <c r="D7" s="8">
        <v>109666737</v>
      </c>
      <c r="E7" s="8">
        <v>116462630</v>
      </c>
      <c r="F7" s="8">
        <v>44519657</v>
      </c>
      <c r="G7" s="9">
        <v>44502226</v>
      </c>
      <c r="H7" s="9">
        <v>27430630</v>
      </c>
      <c r="I7" s="8">
        <v>10117</v>
      </c>
      <c r="J7" s="8">
        <v>6795893</v>
      </c>
      <c r="K7" s="16">
        <v>6.2</v>
      </c>
      <c r="L7" s="9">
        <v>0</v>
      </c>
      <c r="M7" t="b" cm="1">
        <f t="array" ref="M7">SUM(F7:I7+L7)=E7</f>
        <v>1</v>
      </c>
    </row>
    <row r="8" spans="1:13" x14ac:dyDescent="0.2">
      <c r="A8" s="1">
        <v>45689</v>
      </c>
      <c r="B8" s="1">
        <v>45716</v>
      </c>
      <c r="C8" s="1">
        <v>45737</v>
      </c>
      <c r="D8" s="8">
        <v>132416737</v>
      </c>
      <c r="E8" s="8">
        <v>139533257</v>
      </c>
      <c r="F8" s="8">
        <v>51650713</v>
      </c>
      <c r="G8" s="9">
        <v>45618992</v>
      </c>
      <c r="H8" s="9">
        <v>42206630</v>
      </c>
      <c r="I8" s="8">
        <v>56922</v>
      </c>
      <c r="J8" s="8">
        <v>7116520</v>
      </c>
      <c r="K8" s="16">
        <v>5.37</v>
      </c>
      <c r="L8" s="9">
        <v>0</v>
      </c>
      <c r="M8" t="b" cm="1">
        <f t="array" ref="M8">SUM(F8:I8+L8)=E8</f>
        <v>1</v>
      </c>
    </row>
    <row r="9" spans="1:13" x14ac:dyDescent="0.2">
      <c r="A9" s="1">
        <v>45717</v>
      </c>
      <c r="B9" s="1">
        <v>45729</v>
      </c>
      <c r="C9" s="1">
        <v>45768</v>
      </c>
      <c r="D9" s="8">
        <v>134992872</v>
      </c>
      <c r="E9" s="8">
        <v>142498985</v>
      </c>
      <c r="F9" s="8">
        <v>54217993</v>
      </c>
      <c r="G9" s="9">
        <v>54195420</v>
      </c>
      <c r="H9" s="9">
        <v>34085572</v>
      </c>
      <c r="I9" s="8">
        <v>0</v>
      </c>
      <c r="J9" s="8">
        <v>7506113</v>
      </c>
      <c r="K9" s="16">
        <v>5.56</v>
      </c>
      <c r="L9" s="9">
        <v>0</v>
      </c>
      <c r="M9" t="b" cm="1">
        <f t="array" ref="M9">SUM(F9:I9+L9)=E9</f>
        <v>1</v>
      </c>
    </row>
    <row r="10" spans="1:13" x14ac:dyDescent="0.2">
      <c r="A10" s="1">
        <v>45717</v>
      </c>
      <c r="B10" s="1">
        <v>45747</v>
      </c>
      <c r="C10" s="1">
        <v>45768</v>
      </c>
      <c r="D10" s="8">
        <v>193692686</v>
      </c>
      <c r="E10" s="8">
        <v>202959289</v>
      </c>
      <c r="F10" s="8">
        <v>70091588</v>
      </c>
      <c r="G10" s="9">
        <v>82089151</v>
      </c>
      <c r="H10" s="9">
        <v>100778550</v>
      </c>
      <c r="I10" s="8">
        <v>0</v>
      </c>
      <c r="J10" s="8">
        <v>9266603</v>
      </c>
      <c r="K10" s="16">
        <v>4.78</v>
      </c>
      <c r="L10" s="9">
        <v>-50000000</v>
      </c>
      <c r="M10" t="b" cm="1">
        <f t="array" ref="M10">SUM(F10:I10+L10)=E10</f>
        <v>0</v>
      </c>
    </row>
    <row r="11" spans="1:13" x14ac:dyDescent="0.2">
      <c r="A11" s="1">
        <v>45748</v>
      </c>
      <c r="B11" s="1">
        <v>45755</v>
      </c>
      <c r="C11" s="1">
        <v>45799</v>
      </c>
      <c r="D11" s="8">
        <v>293692686</v>
      </c>
      <c r="E11" s="8">
        <v>304731581</v>
      </c>
      <c r="F11" s="8">
        <v>122970480</v>
      </c>
      <c r="G11" s="9">
        <v>121917319</v>
      </c>
      <c r="H11" s="9">
        <v>59843782</v>
      </c>
      <c r="I11" s="8">
        <v>0</v>
      </c>
      <c r="J11" s="8">
        <v>11038895</v>
      </c>
      <c r="K11" s="16">
        <v>3.76</v>
      </c>
      <c r="L11" s="9">
        <v>0</v>
      </c>
      <c r="M11" t="b" cm="1">
        <f t="array" ref="M11">SUM(F11:I11+L11)=E11</f>
        <v>1</v>
      </c>
    </row>
    <row r="12" spans="1:13" x14ac:dyDescent="0.2">
      <c r="A12" s="1">
        <v>45748</v>
      </c>
      <c r="B12" s="1">
        <v>45777</v>
      </c>
      <c r="C12" s="1">
        <v>45799</v>
      </c>
      <c r="D12" s="8">
        <v>317042712</v>
      </c>
      <c r="E12" s="8">
        <v>329080840</v>
      </c>
      <c r="F12" s="8">
        <v>140533134</v>
      </c>
      <c r="G12" s="9">
        <v>140498008</v>
      </c>
      <c r="H12" s="9">
        <v>48049698</v>
      </c>
      <c r="I12" s="8">
        <v>0</v>
      </c>
      <c r="J12" s="8">
        <v>12038128</v>
      </c>
      <c r="K12" s="16">
        <v>3.8</v>
      </c>
      <c r="L12" s="9">
        <v>0</v>
      </c>
      <c r="M12" t="b" cm="1">
        <f t="array" ref="M12">SUM(F12:I12+L12)=E12</f>
        <v>1</v>
      </c>
    </row>
    <row r="13" spans="1:13" x14ac:dyDescent="0.2">
      <c r="A13" s="1">
        <v>45778</v>
      </c>
      <c r="B13" s="1">
        <v>45799</v>
      </c>
      <c r="C13" s="1">
        <v>45831</v>
      </c>
      <c r="D13" s="8">
        <v>310543072</v>
      </c>
      <c r="E13" s="8">
        <v>323349533</v>
      </c>
      <c r="F13" s="8">
        <v>181273927</v>
      </c>
      <c r="G13" s="9">
        <v>97445721</v>
      </c>
      <c r="H13" s="9">
        <v>44629885</v>
      </c>
      <c r="I13" s="8">
        <v>0</v>
      </c>
      <c r="J13" s="8">
        <v>12806461</v>
      </c>
      <c r="K13" s="16">
        <v>4.12</v>
      </c>
      <c r="L13" s="9">
        <v>0</v>
      </c>
      <c r="M13" t="b" cm="1">
        <f t="array" ref="M13">SUM(F13:I13+L13)=E13</f>
        <v>1</v>
      </c>
    </row>
    <row r="14" spans="1:13" x14ac:dyDescent="0.2">
      <c r="A14" s="1">
        <v>45778</v>
      </c>
      <c r="B14" s="1">
        <v>45807</v>
      </c>
      <c r="C14" s="1">
        <v>45831</v>
      </c>
      <c r="D14" s="8">
        <v>309043794</v>
      </c>
      <c r="E14" s="8">
        <v>322099766</v>
      </c>
      <c r="F14" s="8">
        <v>181364719</v>
      </c>
      <c r="G14" s="9">
        <v>97606162</v>
      </c>
      <c r="H14" s="9">
        <v>43128885</v>
      </c>
      <c r="I14" s="8">
        <v>0</v>
      </c>
      <c r="J14" s="8">
        <v>13055972</v>
      </c>
      <c r="K14" s="16">
        <v>4.22</v>
      </c>
      <c r="L14" s="9">
        <v>0</v>
      </c>
      <c r="M14" t="b" cm="1">
        <f t="array" ref="M14">SUM(F14:I14+L14)=E14</f>
        <v>1</v>
      </c>
    </row>
    <row r="15" spans="1:13" x14ac:dyDescent="0.2">
      <c r="A15" s="1">
        <v>45809</v>
      </c>
      <c r="B15" s="1">
        <v>45817</v>
      </c>
      <c r="C15" s="1">
        <v>45862</v>
      </c>
      <c r="D15" s="8">
        <v>388743694</v>
      </c>
      <c r="E15" s="8">
        <v>402390351</v>
      </c>
      <c r="F15" s="8">
        <v>211474620</v>
      </c>
      <c r="G15" s="9">
        <v>113698252</v>
      </c>
      <c r="H15" s="9">
        <v>77217479</v>
      </c>
      <c r="I15" s="8">
        <v>0</v>
      </c>
      <c r="J15" s="8">
        <v>13646657</v>
      </c>
      <c r="K15" s="16">
        <v>3.51</v>
      </c>
      <c r="L15" s="9">
        <v>0</v>
      </c>
      <c r="M15" t="b" cm="1">
        <f t="array" ref="M15">SUM(F15:I15+L15)=E15</f>
        <v>1</v>
      </c>
    </row>
    <row r="16" spans="1:13" x14ac:dyDescent="0.2">
      <c r="A16" s="1">
        <v>45809</v>
      </c>
      <c r="B16" s="1">
        <v>45838</v>
      </c>
      <c r="C16" s="1">
        <v>45862</v>
      </c>
      <c r="D16" s="8">
        <v>455243694</v>
      </c>
      <c r="E16" s="8">
        <v>471227699</v>
      </c>
      <c r="F16" s="8">
        <v>0</v>
      </c>
      <c r="G16" s="9">
        <v>400580147</v>
      </c>
      <c r="H16" s="9">
        <v>70647552</v>
      </c>
      <c r="I16" s="8">
        <v>0</v>
      </c>
      <c r="J16" s="8">
        <v>15984005</v>
      </c>
      <c r="K16" s="16">
        <v>3.51</v>
      </c>
      <c r="L16" s="9">
        <v>0</v>
      </c>
      <c r="M16" t="b" cm="1">
        <f t="array" ref="M16">SUM(F16:I16+L16)=E16</f>
        <v>1</v>
      </c>
    </row>
    <row r="17" spans="1:13" x14ac:dyDescent="0.2">
      <c r="A17" s="1">
        <v>45839</v>
      </c>
      <c r="B17" s="1">
        <v>45855</v>
      </c>
      <c r="C17" s="1">
        <v>45894</v>
      </c>
      <c r="D17" s="8">
        <v>517743524</v>
      </c>
      <c r="E17" s="8">
        <v>535597086</v>
      </c>
      <c r="F17" s="8">
        <v>296228088</v>
      </c>
      <c r="G17" s="9">
        <v>159095319</v>
      </c>
      <c r="H17" s="9">
        <v>80273679</v>
      </c>
      <c r="I17" s="8">
        <v>0</v>
      </c>
      <c r="J17" s="8">
        <v>17853562</v>
      </c>
      <c r="K17" s="16">
        <v>3.45</v>
      </c>
      <c r="L17" s="9">
        <v>0</v>
      </c>
      <c r="M17" t="b" cm="1">
        <f t="array" ref="M17">SUM(F17:I17+L17)=E17</f>
        <v>1</v>
      </c>
    </row>
    <row r="18" spans="1:13" x14ac:dyDescent="0.2">
      <c r="A18" s="1">
        <v>45839</v>
      </c>
      <c r="B18" s="1">
        <v>45869</v>
      </c>
      <c r="C18" s="1">
        <v>45894</v>
      </c>
      <c r="D18" s="8">
        <v>602743524</v>
      </c>
      <c r="E18" s="8">
        <v>622827197</v>
      </c>
      <c r="F18" s="8">
        <v>330519878</v>
      </c>
      <c r="G18" s="9">
        <v>177262232</v>
      </c>
      <c r="H18" s="9">
        <v>115045087</v>
      </c>
      <c r="I18" s="8">
        <v>0</v>
      </c>
      <c r="J18" s="8">
        <v>20083673</v>
      </c>
      <c r="K18" s="16">
        <v>3.33</v>
      </c>
      <c r="L18" s="9">
        <v>0</v>
      </c>
      <c r="M18" t="b" cm="1">
        <f t="array" ref="M18">SUM(F18:I18+L18)=E18</f>
        <v>1</v>
      </c>
    </row>
    <row r="19" spans="1:13" x14ac:dyDescent="0.2">
      <c r="A19" s="1">
        <v>45870</v>
      </c>
      <c r="B19" s="1">
        <v>45887</v>
      </c>
      <c r="C19" s="1">
        <v>45926</v>
      </c>
      <c r="D19" s="8">
        <v>666743504</v>
      </c>
      <c r="E19" s="8">
        <v>690436802</v>
      </c>
      <c r="F19" s="8">
        <v>368558203</v>
      </c>
      <c r="G19" s="9">
        <v>219017666</v>
      </c>
      <c r="H19" s="9">
        <v>102860933</v>
      </c>
      <c r="I19" s="8">
        <v>0</v>
      </c>
      <c r="J19" s="8">
        <v>23693298</v>
      </c>
      <c r="K19" s="16">
        <v>3.55</v>
      </c>
      <c r="L19" s="9">
        <v>0</v>
      </c>
      <c r="M19" t="b" cm="1">
        <f t="array" ref="M19">SUM(F19:I19+L19)=E19</f>
        <v>1</v>
      </c>
    </row>
    <row r="20" spans="1:13" x14ac:dyDescent="0.2">
      <c r="A20" s="1">
        <v>45870</v>
      </c>
      <c r="B20" s="1">
        <v>45898</v>
      </c>
      <c r="C20" s="1">
        <v>45926</v>
      </c>
      <c r="D20" s="8">
        <v>701950756</v>
      </c>
      <c r="E20" s="8">
        <v>728158022</v>
      </c>
      <c r="F20" s="8">
        <v>394509559</v>
      </c>
      <c r="G20" s="9">
        <v>225704825</v>
      </c>
      <c r="H20" s="9">
        <v>107943638</v>
      </c>
      <c r="I20" s="8">
        <v>0</v>
      </c>
      <c r="J20" s="8">
        <v>26207266</v>
      </c>
      <c r="K20" s="16">
        <v>3.73</v>
      </c>
      <c r="L20" s="9">
        <v>0</v>
      </c>
      <c r="M20" t="b" cm="1">
        <f t="array" ref="M20">SUM(F20:I20+L20)=E20</f>
        <v>1</v>
      </c>
    </row>
    <row r="21" spans="1:13" x14ac:dyDescent="0.2">
      <c r="A21" s="1">
        <v>45901</v>
      </c>
      <c r="B21" s="1">
        <v>45915</v>
      </c>
      <c r="C21" s="1">
        <v>45952</v>
      </c>
      <c r="D21" s="8">
        <v>729950821</v>
      </c>
      <c r="E21" s="8">
        <v>759587365</v>
      </c>
      <c r="F21" s="8">
        <v>419931724</v>
      </c>
      <c r="G21" s="9">
        <v>225702596</v>
      </c>
      <c r="H21" s="9">
        <v>113953045</v>
      </c>
      <c r="I21" s="8">
        <v>0</v>
      </c>
      <c r="J21" s="8">
        <v>29636544</v>
      </c>
      <c r="K21" s="16">
        <v>4.0599999999999996</v>
      </c>
      <c r="L21" s="9">
        <v>0</v>
      </c>
      <c r="M21" t="b" cm="1">
        <f t="array" ref="M21">SUM(F21:I21+L21)=E21</f>
        <v>1</v>
      </c>
    </row>
    <row r="22" spans="1:13" x14ac:dyDescent="0.2">
      <c r="A22" s="1">
        <v>45901</v>
      </c>
      <c r="B22" s="1">
        <v>45930</v>
      </c>
      <c r="C22" s="1">
        <v>45952</v>
      </c>
      <c r="D22" s="8">
        <v>789696777</v>
      </c>
      <c r="E22" s="8">
        <v>823429425</v>
      </c>
      <c r="F22" s="8">
        <v>451180481</v>
      </c>
      <c r="G22" s="9">
        <v>249155252</v>
      </c>
      <c r="H22" s="9">
        <v>123093692</v>
      </c>
      <c r="I22" s="8">
        <v>0</v>
      </c>
      <c r="J22" s="8">
        <v>33732648</v>
      </c>
      <c r="K22" s="16">
        <v>4.2699999999999996</v>
      </c>
      <c r="L22" s="9">
        <v>0</v>
      </c>
      <c r="M22" t="b" cm="1">
        <f t="array" ref="M22">SUM(F22:I22+L22)=E22</f>
        <v>1</v>
      </c>
    </row>
    <row r="23" spans="1:13" x14ac:dyDescent="0.2">
      <c r="A23" s="1">
        <v>45931</v>
      </c>
      <c r="B23" s="1">
        <v>45940</v>
      </c>
      <c r="C23" s="1">
        <v>45985</v>
      </c>
      <c r="D23" s="8">
        <v>788756812</v>
      </c>
      <c r="E23" s="8">
        <v>827859659</v>
      </c>
      <c r="F23" s="8">
        <v>461589277</v>
      </c>
      <c r="G23" s="9">
        <v>248197491</v>
      </c>
      <c r="H23" s="9">
        <v>118072891</v>
      </c>
      <c r="I23" s="8">
        <v>0</v>
      </c>
      <c r="J23" s="8">
        <v>39102847</v>
      </c>
      <c r="K23" s="16">
        <v>4.96</v>
      </c>
      <c r="L23" s="9">
        <v>0</v>
      </c>
      <c r="M23" t="b" cm="1">
        <f t="array" ref="M23">SUM(F23:I23+L23)=E23</f>
        <v>1</v>
      </c>
    </row>
    <row r="24" spans="1:13" x14ac:dyDescent="0.2">
      <c r="A24" s="1">
        <v>45931</v>
      </c>
      <c r="B24" s="1">
        <v>45961</v>
      </c>
      <c r="C24" s="1">
        <v>45985</v>
      </c>
      <c r="D24" s="8">
        <v>963198083</v>
      </c>
      <c r="E24" s="8">
        <v>1023817752</v>
      </c>
      <c r="F24" s="8">
        <v>526439834</v>
      </c>
      <c r="G24" s="9">
        <v>282487104</v>
      </c>
      <c r="H24" s="9">
        <v>214890814</v>
      </c>
      <c r="I24" s="8">
        <v>0</v>
      </c>
      <c r="J24" s="8">
        <v>60619669</v>
      </c>
      <c r="K24" s="16">
        <v>6.29</v>
      </c>
      <c r="L24" s="9">
        <v>0</v>
      </c>
      <c r="M24" t="b" cm="1">
        <f t="array" ref="M24">SUM(F24:I24+L24)=E24</f>
        <v>1</v>
      </c>
    </row>
    <row r="25" spans="1:13" x14ac:dyDescent="0.2">
      <c r="A25" s="1">
        <v>45962</v>
      </c>
      <c r="B25" s="1">
        <v>45985</v>
      </c>
      <c r="C25" s="1">
        <v>46010</v>
      </c>
      <c r="D25" s="8">
        <v>1156148084</v>
      </c>
      <c r="E25" s="8">
        <v>1208443821</v>
      </c>
      <c r="F25" s="8">
        <v>668272946</v>
      </c>
      <c r="G25" s="9">
        <v>358916733</v>
      </c>
      <c r="H25" s="9">
        <v>261254142</v>
      </c>
      <c r="I25" s="8">
        <v>0</v>
      </c>
      <c r="J25" s="8">
        <v>52295737</v>
      </c>
      <c r="K25" s="16">
        <v>4.5199999999999996</v>
      </c>
      <c r="L25" s="9">
        <v>-80000000</v>
      </c>
      <c r="M25" t="b" cm="1">
        <f t="array" ref="M25">SUM(F25:I25+L25)=E25</f>
        <v>0</v>
      </c>
    </row>
    <row r="26" spans="1:13" x14ac:dyDescent="0.2">
      <c r="A26" s="1">
        <v>45962</v>
      </c>
      <c r="B26" s="1">
        <v>45989</v>
      </c>
      <c r="C26" s="1">
        <v>46010</v>
      </c>
      <c r="D26" s="8">
        <v>1260898084</v>
      </c>
      <c r="E26" s="8">
        <v>1314484291</v>
      </c>
      <c r="F26" s="8">
        <v>712957110</v>
      </c>
      <c r="G26" s="9">
        <v>382691606</v>
      </c>
      <c r="H26" s="9">
        <v>218835575</v>
      </c>
      <c r="I26" s="8">
        <v>0</v>
      </c>
      <c r="J26" s="8">
        <v>53586207</v>
      </c>
      <c r="K26" s="16">
        <v>4.25</v>
      </c>
      <c r="L26" s="9">
        <v>0</v>
      </c>
      <c r="M26" t="b" cm="1">
        <f t="array" ref="M26">SUM(F26:I26+L26)=E26</f>
        <v>1</v>
      </c>
    </row>
    <row r="27" spans="1:13" x14ac:dyDescent="0.2">
      <c r="A27" s="1">
        <v>45992</v>
      </c>
      <c r="B27" s="1">
        <v>46008</v>
      </c>
      <c r="C27" s="1">
        <v>46048</v>
      </c>
      <c r="D27" s="8">
        <v>1336131274</v>
      </c>
      <c r="E27" s="8">
        <v>1394245895</v>
      </c>
      <c r="F27" s="8">
        <v>760428165</v>
      </c>
      <c r="G27" s="9">
        <v>408795043</v>
      </c>
      <c r="H27" s="9">
        <v>225022687</v>
      </c>
      <c r="I27" s="8">
        <v>0</v>
      </c>
      <c r="M27" t="b" cm="1">
        <f t="array" ref="M27">SUM(F27:I27+L27)=E27</f>
        <v>1</v>
      </c>
    </row>
    <row r="28" spans="1:13" x14ac:dyDescent="0.2">
      <c r="A28" s="1">
        <v>45992</v>
      </c>
      <c r="B28" s="1">
        <v>46022</v>
      </c>
      <c r="C28" s="1">
        <v>46048</v>
      </c>
      <c r="D28" s="8">
        <v>1278206224</v>
      </c>
      <c r="E28" s="8">
        <v>1337307954</v>
      </c>
      <c r="F28" s="8">
        <v>338465964</v>
      </c>
      <c r="G28" s="9">
        <v>867503908</v>
      </c>
      <c r="H28" s="9">
        <v>131338082</v>
      </c>
      <c r="I28" s="8">
        <v>0</v>
      </c>
      <c r="M28" t="b" cm="1">
        <f t="array" ref="M28">SUM(F28:I28+L28)=E28</f>
        <v>1</v>
      </c>
    </row>
    <row r="30" spans="1:13" x14ac:dyDescent="0.2">
      <c r="E30" s="8"/>
      <c r="M30" s="8"/>
    </row>
  </sheetData>
  <hyperlinks>
    <hyperlink ref="A1" r:id="rId1" xr:uid="{2CEA1EC1-5CE8-4FE5-BFA2-58B34A8D9F1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237E-716D-4159-98CB-6EDC442975C1}">
  <dimension ref="A1:G8"/>
  <sheetViews>
    <sheetView zoomScale="70" zoomScaleNormal="70" workbookViewId="0">
      <selection activeCell="D14" sqref="D14"/>
    </sheetView>
  </sheetViews>
  <sheetFormatPr defaultRowHeight="15" x14ac:dyDescent="0.2"/>
  <cols>
    <col min="1" max="1" width="9.88671875" bestFit="1" customWidth="1"/>
    <col min="2" max="2" width="6.44140625" bestFit="1" customWidth="1"/>
    <col min="3" max="3" width="18.88671875" bestFit="1" customWidth="1"/>
    <col min="4" max="4" width="34.5546875" bestFit="1" customWidth="1"/>
    <col min="5" max="5" width="60.44140625" bestFit="1" customWidth="1"/>
    <col min="6" max="6" width="60.44140625" customWidth="1"/>
  </cols>
  <sheetData>
    <row r="1" spans="1:7" x14ac:dyDescent="0.2">
      <c r="A1" t="s">
        <v>15</v>
      </c>
      <c r="B1" t="s">
        <v>51</v>
      </c>
      <c r="C1" t="s">
        <v>69</v>
      </c>
      <c r="D1" t="s">
        <v>52</v>
      </c>
      <c r="E1" t="s">
        <v>53</v>
      </c>
      <c r="F1" t="s">
        <v>19</v>
      </c>
      <c r="G1" t="s">
        <v>66</v>
      </c>
    </row>
    <row r="2" spans="1:7" x14ac:dyDescent="0.2">
      <c r="A2" s="1">
        <v>45964</v>
      </c>
      <c r="B2" t="s">
        <v>54</v>
      </c>
      <c r="C2" s="15">
        <v>0</v>
      </c>
      <c r="D2" s="15">
        <v>239088762</v>
      </c>
      <c r="E2" s="15">
        <v>334666</v>
      </c>
      <c r="F2" s="2">
        <f>SUM(C2:E2)</f>
        <v>239423428</v>
      </c>
    </row>
    <row r="3" spans="1:7" x14ac:dyDescent="0.2">
      <c r="A3" s="1">
        <v>45989</v>
      </c>
      <c r="B3" t="s">
        <v>54</v>
      </c>
      <c r="D3" s="2">
        <v>289618902</v>
      </c>
      <c r="E3">
        <v>-180061</v>
      </c>
      <c r="F3" s="2">
        <f t="shared" ref="F3:F8" si="0">SUM(C3:E3)</f>
        <v>289438841</v>
      </c>
    </row>
    <row r="4" spans="1:7" x14ac:dyDescent="0.2">
      <c r="A4" s="1">
        <v>46003</v>
      </c>
      <c r="B4" t="s">
        <v>55</v>
      </c>
      <c r="D4" s="14">
        <v>7382350.6600000001</v>
      </c>
      <c r="E4">
        <v>0</v>
      </c>
      <c r="F4" s="2">
        <f t="shared" si="0"/>
        <v>7382350.6600000001</v>
      </c>
    </row>
    <row r="5" spans="1:7" x14ac:dyDescent="0.2">
      <c r="A5" s="1">
        <v>46022</v>
      </c>
      <c r="B5" t="s">
        <v>57</v>
      </c>
      <c r="D5">
        <v>3000000</v>
      </c>
      <c r="E5">
        <v>0</v>
      </c>
      <c r="F5" s="2">
        <f t="shared" si="0"/>
        <v>3000000</v>
      </c>
      <c r="G5" t="s">
        <v>67</v>
      </c>
    </row>
    <row r="6" spans="1:7" x14ac:dyDescent="0.2">
      <c r="A6" s="1">
        <v>46020</v>
      </c>
      <c r="B6" t="s">
        <v>58</v>
      </c>
      <c r="C6">
        <f>1961225.62+1009826.55+496175.33</f>
        <v>3467227.5</v>
      </c>
      <c r="D6">
        <v>175001</v>
      </c>
      <c r="E6">
        <v>0</v>
      </c>
      <c r="F6" s="2">
        <f t="shared" si="0"/>
        <v>3642228.5</v>
      </c>
      <c r="G6" t="s">
        <v>68</v>
      </c>
    </row>
    <row r="7" spans="1:7" x14ac:dyDescent="0.2">
      <c r="A7" s="1">
        <v>46020</v>
      </c>
      <c r="B7" t="s">
        <v>59</v>
      </c>
      <c r="F7" s="2">
        <f t="shared" si="0"/>
        <v>0</v>
      </c>
    </row>
    <row r="8" spans="1:7" x14ac:dyDescent="0.2">
      <c r="A8" s="1">
        <v>45991</v>
      </c>
      <c r="B8" t="s">
        <v>60</v>
      </c>
      <c r="C8">
        <v>11492338</v>
      </c>
      <c r="D8">
        <v>10918540</v>
      </c>
      <c r="E8">
        <v>0</v>
      </c>
      <c r="F8" s="2">
        <f t="shared" si="0"/>
        <v>22410878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4F3E-0A84-4C1F-9E77-F5F5AD2F49CF}">
  <dimension ref="A1:G2"/>
  <sheetViews>
    <sheetView workbookViewId="0">
      <selection activeCell="G2" sqref="G2"/>
    </sheetView>
  </sheetViews>
  <sheetFormatPr defaultRowHeight="15" x14ac:dyDescent="0.2"/>
  <cols>
    <col min="2" max="2" width="6.109375" bestFit="1" customWidth="1"/>
    <col min="3" max="3" width="19.77734375" bestFit="1" customWidth="1"/>
    <col min="4" max="4" width="24.33203125" bestFit="1" customWidth="1"/>
    <col min="5" max="5" width="14.109375" bestFit="1" customWidth="1"/>
    <col min="6" max="6" width="18.33203125" bestFit="1" customWidth="1"/>
    <col min="7" max="7" width="12.33203125" bestFit="1" customWidth="1"/>
  </cols>
  <sheetData>
    <row r="1" spans="1:7" x14ac:dyDescent="0.2">
      <c r="A1" t="s">
        <v>15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12</v>
      </c>
    </row>
    <row r="2" spans="1:7" x14ac:dyDescent="0.2">
      <c r="A2" s="1">
        <v>46048</v>
      </c>
      <c r="B2" t="s">
        <v>56</v>
      </c>
      <c r="C2" s="14">
        <v>6059908.0700000003</v>
      </c>
      <c r="D2" s="14">
        <v>86569.84</v>
      </c>
      <c r="E2" s="14">
        <v>255498.51</v>
      </c>
      <c r="F2" s="14">
        <v>9143020.8000000007</v>
      </c>
      <c r="G2" s="14">
        <f>SUM(C2:F2)</f>
        <v>15544997.220000001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17A8BB07CA6459B68986233AF7C0B" ma:contentTypeVersion="111" ma:contentTypeDescription="Create a new document." ma:contentTypeScope="" ma:versionID="b48bf8225f6d14cd4f8529d7f503f222">
  <xsd:schema xmlns:xsd="http://www.w3.org/2001/XMLSchema" xmlns:xs="http://www.w3.org/2001/XMLSchema" xmlns:p="http://schemas.microsoft.com/office/2006/metadata/properties" xmlns:ns1="http://schemas.microsoft.com/sharepoint/v3" xmlns:ns2="1ceb290c-0c0f-4d75-9d55-bf954c0fe360" xmlns:ns3="http://schemas.microsoft.com/sharepoint/v4" xmlns:ns4="afd080f9-41a9-43ae-acb8-37ec2f6ce25d" targetNamespace="http://schemas.microsoft.com/office/2006/metadata/properties" ma:root="true" ma:fieldsID="02b53d55087371cd0baf828dc9689835" ns1:_="" ns2:_="" ns3:_="" ns4:_="">
    <xsd:import namespace="http://schemas.microsoft.com/sharepoint/v3"/>
    <xsd:import namespace="1ceb290c-0c0f-4d75-9d55-bf954c0fe360"/>
    <xsd:import namespace="http://schemas.microsoft.com/sharepoint/v4"/>
    <xsd:import namespace="afd080f9-41a9-43ae-acb8-37ec2f6ce25d"/>
    <xsd:element name="properties">
      <xsd:complexType>
        <xsd:sequence>
          <xsd:element name="documentManagement">
            <xsd:complexType>
              <xsd:all>
                <xsd:element ref="ns2:Project_x0020_Owner" minOccurs="0"/>
                <xsd:element ref="ns2:Authors" minOccurs="0"/>
                <xsd:element ref="ns2:Readers" minOccurs="0"/>
                <xsd:element ref="ns2:Security" minOccurs="0"/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ection" minOccurs="0"/>
                <xsd:element ref="ns2:Division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2:SharedWithUsers" minOccurs="0"/>
                <xsd:element ref="ns4:project_id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7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8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  <xsd:element name="_vti_ItemDeclaredRecord" ma:index="16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7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b290c-0c0f-4d75-9d55-bf954c0fe360" elementFormDefault="qualified">
    <xsd:import namespace="http://schemas.microsoft.com/office/2006/documentManagement/types"/>
    <xsd:import namespace="http://schemas.microsoft.com/office/infopath/2007/PartnerControls"/>
    <xsd:element name="Project_x0020_Owner" ma:index="2" nillable="true" ma:displayName="Project Owner" ma:description="" ma:hidden="true" ma:list="UserInfo" ma:SharePointGroup="0" ma:internalName="Projec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s" ma:index="3" nillable="true" ma:displayName="Authors/Admins" ma:description="" ma:hidden="true" ma:list="UserInfo" ma:SearchPeopleOnly="false" ma:SharePointGroup="0" ma:internalName="Auth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ders" ma:index="4" nillable="true" ma:displayName="Readers" ma:description="" ma:hidden="true" ma:list="UserInfo" ma:SearchPeopleOnly="false" ma:SharePointGroup="0" ma:internalName="Read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urity" ma:index="5" nillable="true" ma:displayName="Classification" ma:default="Internal FR / Official Use" ma:description="" ma:format="Dropdown" ma:hidden="true" ma:internalName="Security" ma:readOnly="false">
      <xsd:simpleType>
        <xsd:restriction base="dms:Choice">
          <xsd:enumeration value="Class I FOMC - Restricted Controlled FR"/>
          <xsd:enumeration value="Class II FOMC - Restricted FR"/>
          <xsd:enumeration value="Class III FOMC - Internal FR"/>
          <xsd:enumeration value="Personal / Nonwork"/>
          <xsd:enumeration value="Public / Official Release"/>
          <xsd:enumeration value="Nonconfidential"/>
          <xsd:enumeration value="Treasury Unclassified"/>
          <xsd:enumeration value="Treasury SBU"/>
          <xsd:enumeration value="SPII FR"/>
          <xsd:enumeration value="Internal FR / Official Use"/>
          <xsd:enumeration value="Restricted FR"/>
          <xsd:enumeration value="Restricted Controlled FR"/>
        </xsd:restriction>
      </xsd:simpleType>
    </xsd:element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ction" ma:index="13" nillable="true" ma:displayName="Section" ma:internalName="Section">
      <xsd:simpleType>
        <xsd:restriction base="dms:Text">
          <xsd:maxLength value="255"/>
        </xsd:restriction>
      </xsd:simpleType>
    </xsd:element>
    <xsd:element name="Division" ma:index="14" nillable="true" ma:displayName="Division" ma:internalName="Division">
      <xsd:simpleType>
        <xsd:restriction base="dms:Text">
          <xsd:maxLength value="255"/>
        </xsd:restriction>
      </xsd:simpleType>
    </xsd:element>
    <xsd:element name="SharedWithUsers" ma:index="2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80f9-41a9-43ae-acb8-37ec2f6ce25d" elementFormDefault="qualified">
    <xsd:import namespace="http://schemas.microsoft.com/office/2006/documentManagement/types"/>
    <xsd:import namespace="http://schemas.microsoft.com/office/infopath/2007/PartnerControls"/>
    <xsd:element name="project_id" ma:index="27" nillable="true" ma:displayName="project_id" ma:decimals="0" ma:hidden="true" ma:indexed="true" ma:internalName="project_id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urity xmlns="1ceb290c-0c0f-4d75-9d55-bf954c0fe360">Internal FR / Official Use</Security>
    <Readers xmlns="1ceb290c-0c0f-4d75-9d55-bf954c0fe360">
      <UserInfo>
        <DisplayName/>
        <AccountId xsi:nil="true"/>
        <AccountType/>
      </UserInfo>
    </Readers>
    <IconOverlay xmlns="http://schemas.microsoft.com/sharepoint/v4" xsi:nil="true"/>
    <Section xmlns="1ceb290c-0c0f-4d75-9d55-bf954c0fe360">Macroprudential Policy Analysi</Section>
    <Authors xmlns="1ceb290c-0c0f-4d75-9d55-bf954c0fe360">
      <UserInfo>
        <DisplayName/>
        <AccountId xsi:nil="true"/>
        <AccountType/>
      </UserInfo>
    </Authors>
    <PublishingExpirationDate xmlns="http://schemas.microsoft.com/sharepoint/v3" xsi:nil="true"/>
    <Division xmlns="1ceb290c-0c0f-4d75-9d55-bf954c0fe360">Financial Stability</Division>
    <PublishingStartDate xmlns="http://schemas.microsoft.com/sharepoint/v3" xsi:nil="true"/>
    <project_id xmlns="afd080f9-41a9-43ae-acb8-37ec2f6ce25d" xsi:nil="true"/>
    <Project_x0020_Owner xmlns="1ceb290c-0c0f-4d75-9d55-bf954c0fe360">
      <UserInfo>
        <DisplayName/>
        <AccountId xsi:nil="true"/>
        <AccountType/>
      </UserInfo>
    </Project_x0020_Owner>
    <_dlc_DocId xmlns="1ceb290c-0c0f-4d75-9d55-bf954c0fe360">COLLAB-632341292-116298</_dlc_DocId>
    <_dlc_DocIdUrl xmlns="1ceb290c-0c0f-4d75-9d55-bf954c0fe360">
      <Url>https://spweb.frb.gov/sites/collab/_layouts/15/DocIdRedir.aspx?ID=COLLAB-632341292-116298</Url>
      <Description>COLLAB-632341292-116298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84D60A0-2A6E-481A-A8A5-EF9FCFC6F3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4A70E8-20EB-4372-A776-C46CA12AC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eb290c-0c0f-4d75-9d55-bf954c0fe360"/>
    <ds:schemaRef ds:uri="http://schemas.microsoft.com/sharepoint/v4"/>
    <ds:schemaRef ds:uri="afd080f9-41a9-43ae-acb8-37ec2f6ce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BD517A-F926-4CF8-ACBA-C4F23AE0E60F}">
  <ds:schemaRefs>
    <ds:schemaRef ds:uri="http://schemas.microsoft.com/office/2006/metadata/properties"/>
    <ds:schemaRef ds:uri="http://schemas.microsoft.com/office/infopath/2007/PartnerControls"/>
    <ds:schemaRef ds:uri="1ceb290c-0c0f-4d75-9d55-bf954c0fe360"/>
    <ds:schemaRef ds:uri="http://schemas.microsoft.com/sharepoint/v4"/>
    <ds:schemaRef ds:uri="http://schemas.microsoft.com/sharepoint/v3"/>
    <ds:schemaRef ds:uri="afd080f9-41a9-43ae-acb8-37ec2f6ce25d"/>
  </ds:schemaRefs>
</ds:datastoreItem>
</file>

<file path=customXml/itemProps4.xml><?xml version="1.0" encoding="utf-8"?>
<ds:datastoreItem xmlns:ds="http://schemas.openxmlformats.org/officeDocument/2006/customXml" ds:itemID="{0CA9BC92-8DA6-4F28-A1F7-B806645C06D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USDC</vt:lpstr>
      <vt:lpstr>GUSD</vt:lpstr>
      <vt:lpstr>USDT</vt:lpstr>
      <vt:lpstr>BUSD</vt:lpstr>
      <vt:lpstr>USD1</vt:lpstr>
      <vt:lpstr>USDP</vt:lpstr>
      <vt:lpstr>PYUSD</vt:lpstr>
      <vt:lpstr>RLUSD</vt:lpstr>
      <vt:lpstr>Other</vt:lpstr>
      <vt:lpstr>AUDD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Chase Ross</dc:creator>
  <cp:keywords/>
  <dc:description/>
  <cp:lastModifiedBy>Arazi Lubis</cp:lastModifiedBy>
  <cp:revision/>
  <dcterms:created xsi:type="dcterms:W3CDTF">2022-04-07T13:25:35Z</dcterms:created>
  <dcterms:modified xsi:type="dcterms:W3CDTF">2026-05-01T19:44:35Z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302a77b0-e08a-4a59-995c-c133d9d8d227</vt:lpwstr>
  </property>
  <property fmtid="{D5CDD505-2E9C-101B-9397-08002B2CF9AE}" pid="3" name="ContentTypeId">
    <vt:lpwstr>0x0101002BE17A8BB07CA6459B68986233AF7C0B</vt:lpwstr>
  </property>
  <property fmtid="{D5CDD505-2E9C-101B-9397-08002B2CF9AE}" pid="4" name="_dlc_DocIdItemGuid">
    <vt:lpwstr>ed3ab885-2219-477d-bd4a-7a4599e76eef</vt:lpwstr>
  </property>
  <property fmtid="{D5CDD505-2E9C-101B-9397-08002B2CF9AE}" pid="5" name="Workflow_Initiator">
    <vt:lpwstr>4599</vt:lpwstr>
  </property>
  <property fmtid="{D5CDD505-2E9C-101B-9397-08002B2CF9AE}" pid="6" name="WorkflowChangePath">
    <vt:lpwstr>2d31a358-ccf3-4796-a77e-db57a0ae3b57,3;2d31a358-ccf3-4796-a77e-db57a0ae3b57,7;</vt:lpwstr>
  </property>
  <property fmtid="{D5CDD505-2E9C-101B-9397-08002B2CF9AE}" pid="7" name="MSIP_Label_68bd301d-c681-4bd2-b9e4-03440f3370c0_Enabled">
    <vt:lpwstr>true</vt:lpwstr>
  </property>
  <property fmtid="{D5CDD505-2E9C-101B-9397-08002B2CF9AE}" pid="8" name="MSIP_Label_68bd301d-c681-4bd2-b9e4-03440f3370c0_SetDate">
    <vt:lpwstr>2023-09-12T20:00:29Z</vt:lpwstr>
  </property>
  <property fmtid="{D5CDD505-2E9C-101B-9397-08002B2CF9AE}" pid="9" name="MSIP_Label_68bd301d-c681-4bd2-b9e4-03440f3370c0_Method">
    <vt:lpwstr>Privileged</vt:lpwstr>
  </property>
  <property fmtid="{D5CDD505-2E9C-101B-9397-08002B2CF9AE}" pid="10" name="MSIP_Label_68bd301d-c681-4bd2-b9e4-03440f3370c0_Name">
    <vt:lpwstr>INTERNAL FR-OFFICIAL USE - FRSONLY</vt:lpwstr>
  </property>
  <property fmtid="{D5CDD505-2E9C-101B-9397-08002B2CF9AE}" pid="11" name="MSIP_Label_68bd301d-c681-4bd2-b9e4-03440f3370c0_SiteId">
    <vt:lpwstr>87bb2570-5c1e-4973-9c37-09257a95aeb1</vt:lpwstr>
  </property>
  <property fmtid="{D5CDD505-2E9C-101B-9397-08002B2CF9AE}" pid="12" name="MSIP_Label_68bd301d-c681-4bd2-b9e4-03440f3370c0_ActionId">
    <vt:lpwstr>6867e4e8-ce4c-4c38-b25e-891d290b2af1</vt:lpwstr>
  </property>
  <property fmtid="{D5CDD505-2E9C-101B-9397-08002B2CF9AE}" pid="13" name="MSIP_Label_68bd301d-c681-4bd2-b9e4-03440f3370c0_ContentBits">
    <vt:lpwstr>1</vt:lpwstr>
  </property>
</Properties>
</file>